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9a9965a1d12b599/Documentos/Dio/desafio_dashboard/"/>
    </mc:Choice>
  </mc:AlternateContent>
  <xr:revisionPtr revIDLastSave="9" documentId="8_{B10C4C95-503D-452C-A20A-1EAA82890985}" xr6:coauthVersionLast="47" xr6:coauthVersionMax="47" xr10:uidLastSave="{9B400BBC-FDD6-476A-9ACB-7F99D5926C91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  <sheet name="Extras" sheetId="5" r:id="rId5"/>
  </sheets>
  <definedNames>
    <definedName name="_xlnm.Print_Area" localSheetId="3">D̳ashboard!$A$1:$OL$39</definedName>
    <definedName name="SegmentaçãodeDados_Subscription_Type">#N/A</definedName>
    <definedName name="SegmentaçãodeDados_Subscription_Type1">#N/A</definedName>
    <definedName name="SegmentaçãodeDados_Subscription_Type2">#N/A</definedName>
  </definedNames>
  <calcPr calcId="191028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G28" i="3"/>
  <c r="C51" i="3"/>
</calcChain>
</file>

<file path=xl/sharedStrings.xml><?xml version="1.0" encoding="utf-8"?>
<sst xmlns="http://schemas.openxmlformats.org/spreadsheetml/2006/main" count="2042" uniqueCount="345">
  <si>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</si>
  <si>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</si>
  <si>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</si>
  <si>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</si>
  <si>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</si>
  <si>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</si>
  <si>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</si>
  <si>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</si>
  <si>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</si>
  <si>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</si>
  <si>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</si>
  <si>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</si>
  <si>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</si>
  <si>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</si>
  <si>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</si>
  <si>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</si>
  <si>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</si>
  <si>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</si>
  <si>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</si>
  <si>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</si>
  <si>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</si>
  <si>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</si>
  <si>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</si>
  <si>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</si>
  <si>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</si>
  <si>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</si>
  <si>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</si>
  <si>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</si>
  <si>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</si>
  <si>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</si>
  <si>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</si>
  <si>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</si>
  <si>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</si>
  <si>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</si>
  <si>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</si>
  <si>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</si>
  <si>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</si>
  <si>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</si>
  <si>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</si>
  <si>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</si>
  <si>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</si>
  <si>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</si>
  <si>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</si>
  <si>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</si>
  <si>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</si>
  <si>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</si>
  <si>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</si>
  <si>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</si>
  <si>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</si>
  <si>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</si>
  <si>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</si>
  <si>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</si>
  <si>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</si>
  <si>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</si>
  <si>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</si>
  <si>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</si>
  <si>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</si>
  <si>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</si>
  <si>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</si>
  <si>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</si>
  <si>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</si>
  <si>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</si>
  <si>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</si>
  <si>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</si>
  <si>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</si>
  <si>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</si>
  <si>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</si>
  <si>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</si>
  <si>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</si>
  <si>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</si>
  <si>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</si>
  <si>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</si>
  <si>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</si>
  <si>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</si>
  <si>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</si>
  <si>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</si>
  <si>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</si>
  <si>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</si>
  <si>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</si>
  <si>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</si>
  <si>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</si>
  <si>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</si>
  <si>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</si>
  <si>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</si>
  <si>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</si>
  <si>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</si>
  <si>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</si>
  <si>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</si>
  <si>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</si>
  <si>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</si>
  <si>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</si>
  <si>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</si>
  <si>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</si>
  <si>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</si>
  <si>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</si>
  <si>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</si>
  <si>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</si>
  <si>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</si>
  <si>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</si>
  <si>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</si>
  <si>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</si>
  <si>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</si>
  <si>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</si>
  <si>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</si>
  <si>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</si>
  <si>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</si>
  <si>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</si>
  <si>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</si>
  <si>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</si>
  <si>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</si>
  <si>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</si>
  <si>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</si>
  <si>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</si>
  <si>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</si>
  <si>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</si>
  <si>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</si>
  <si>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</si>
  <si>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</si>
  <si>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</si>
  <si>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</si>
  <si>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</si>
  <si>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</si>
  <si>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</si>
  <si>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</si>
  <si>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</si>
  <si>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</si>
  <si>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</si>
  <si>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</si>
  <si>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</si>
  <si>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</si>
  <si>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</si>
  <si>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</si>
  <si>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</si>
  <si>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</si>
  <si>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</si>
  <si>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</si>
  <si>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</si>
  <si>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</si>
  <si>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</si>
  <si>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</si>
  <si>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</si>
  <si>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</si>
  <si>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</si>
  <si>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</si>
  <si>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</si>
  <si>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</si>
  <si>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</si>
  <si>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</si>
  <si>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</si>
  <si>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</si>
  <si>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</si>
  <si>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</si>
  <si>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</si>
  <si>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</si>
  <si>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</si>
  <si>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</si>
  <si>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</si>
  <si>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</si>
  <si>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</si>
  <si>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</si>
  <si>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</si>
  <si>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</si>
  <si>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</si>
  <si>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</si>
  <si>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</si>
  <si>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</si>
  <si>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</si>
  <si>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</si>
  <si>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</si>
  <si>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</si>
  <si>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</si>
  <si>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</si>
  <si>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</si>
  <si>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</si>
  <si>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</si>
  <si>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</si>
  <si>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</si>
  <si>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</si>
  <si>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</si>
  <si>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</si>
  <si>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</si>
  <si>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</si>
  <si>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</si>
  <si>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</si>
  <si>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</si>
  <si>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</si>
  <si>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</si>
  <si>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</si>
  <si>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</si>
  <si>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</si>
  <si>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</si>
  <si>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</si>
  <si>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</si>
  <si>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</si>
  <si>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</si>
  <si>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</si>
  <si>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</si>
  <si>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</si>
  <si>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</si>
  <si>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</si>
  <si>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</si>
  <si>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</si>
  <si>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</si>
  <si>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</si>
  <si>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</si>
  <si>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</si>
  <si>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</si>
  <si>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</si>
  <si>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</si>
  <si>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</si>
  <si>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</si>
  <si>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</si>
  <si>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</si>
  <si>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</si>
  <si>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</si>
  <si>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</si>
  <si>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</si>
  <si>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</si>
  <si>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</si>
  <si>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</si>
  <si>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</si>
  <si>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</si>
  <si>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</si>
  <si>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</si>
  <si>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</si>
  <si>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</si>
  <si>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</si>
  <si>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</si>
  <si>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</si>
  <si>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</si>
  <si>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</si>
  <si>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</si>
  <si>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</si>
  <si>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</si>
  <si>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</si>
  <si>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</si>
  <si>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</si>
  <si>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</si>
  <si>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</si>
  <si>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</si>
  <si>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</si>
  <si>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</si>
  <si>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</si>
  <si>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</si>
  <si>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</si>
  <si>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</si>
  <si>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</si>
  <si>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</si>
  <si>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</si>
  <si>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</si>
  <si>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</si>
  <si>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</si>
  <si>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</si>
  <si>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</si>
  <si>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</si>
  <si>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</si>
  <si>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</si>
  <si>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</si>
  <si>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</si>
  <si>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</si>
  <si>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</si>
  <si>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</si>
  <si>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</si>
  <si>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</si>
  <si>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</si>
  <si>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</si>
  <si>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</si>
  <si>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</si>
  <si>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</si>
  <si>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</si>
  <si>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</si>
  <si>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</si>
  <si>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</si>
  <si>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</si>
  <si>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</si>
  <si>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</si>
  <si>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</si>
  <si>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</si>
  <si>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</si>
  <si>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</si>
  <si>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</si>
  <si>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</si>
  <si>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</si>
  <si>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</si>
  <si>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</si>
  <si>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</si>
  <si>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</si>
  <si>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</si>
  <si>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</si>
  <si>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</si>
  <si>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</si>
  <si>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</si>
  <si>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</si>
  <si>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</si>
  <si>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</si>
  <si>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</si>
  <si>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</si>
  <si>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</si>
  <si>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</si>
  <si>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</si>
  <si>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</si>
  <si>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</si>
  <si>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</si>
  <si>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</si>
  <si>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</si>
  <si>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</si>
  <si>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</si>
  <si>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</si>
  <si>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</si>
  <si>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</si>
  <si>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</si>
  <si>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</si>
  <si>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</si>
  <si>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</t>
  </si>
  <si>
    <t>Explicação de cada variável</t>
  </si>
  <si>
    <r>
      <rPr>
        <b/>
        <sz val="11"/>
        <color theme="1"/>
        <rFont val="Aptos Narrow"/>
        <family val="2"/>
        <scheme val="minor"/>
      </rPr>
      <t xml:space="preserve">Subscriber ID
</t>
    </r>
    <r>
      <rPr>
        <sz val="11"/>
        <color theme="1"/>
        <rFont val="Aptos Narrow"/>
        <family val="2"/>
        <scheme val="minor"/>
      </rPr>
      <t xml:space="preserve">
Identificador único do assinante.
Serve para diferenciar cada cliente na base.
Não é métrica, é chave de identificação.
Muito usado para contagem de clientes únicos.</t>
    </r>
  </si>
  <si>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
Nome do assinante.
Informação cadastral.
Geralmente não entra em dashboards executivos, mas é útil para relatórios operacionais.</t>
    </r>
  </si>
  <si>
    <r>
      <rPr>
        <b/>
        <sz val="11"/>
        <color theme="1"/>
        <rFont val="Aptos Narrow"/>
        <family val="2"/>
        <scheme val="minor"/>
      </rPr>
      <t>Plan</t>
    </r>
    <r>
      <rPr>
        <sz val="11"/>
        <color theme="1"/>
        <rFont val="Aptos Narrow"/>
        <family val="2"/>
        <scheme val="minor"/>
      </rPr>
      <t xml:space="preserve">
Plano contratado pelo cliente (ex: Ultimate).
Permite analisar:
quais planos vendem mais,
receita por tipo de plano,
perfil dos assinantes.</t>
    </r>
  </si>
  <si>
    <r>
      <rPr>
        <b/>
        <sz val="11"/>
        <color theme="1"/>
        <rFont val="Aptos Narrow"/>
        <family val="2"/>
        <scheme val="minor"/>
      </rPr>
      <t>Auto Renewal</t>
    </r>
    <r>
      <rPr>
        <sz val="11"/>
        <color theme="1"/>
        <rFont val="Aptos Narrow"/>
        <family val="2"/>
        <scheme val="minor"/>
      </rPr>
      <t xml:space="preserve">
Indica se a assinatura renova automaticamente (Yes / No).
Variável estratégica para:
retenção,risco de churn (cancelamento),
previsibilidade de receita.</t>
    </r>
  </si>
  <si>
    <r>
      <rPr>
        <b/>
        <sz val="11"/>
        <color theme="1"/>
        <rFont val="Aptos Narrow"/>
        <family val="2"/>
        <scheme val="minor"/>
      </rPr>
      <t>Subscription Price</t>
    </r>
    <r>
      <rPr>
        <sz val="11"/>
        <color theme="1"/>
        <rFont val="Aptos Narrow"/>
        <family val="2"/>
        <scheme val="minor"/>
      </rPr>
      <t xml:space="preserve">
Valor base da assinatura.
Representa a receita fixa do plano, sem adicionais.
Muito usada para:
cálculo de receita recorrente,
comparação com produtos extras.</t>
    </r>
  </si>
  <si>
    <r>
      <rPr>
        <b/>
        <sz val="11"/>
        <color theme="1"/>
        <rFont val="Aptos Narrow"/>
        <family val="2"/>
        <scheme val="minor"/>
      </rPr>
      <t>EA Play Season Pass</t>
    </r>
    <r>
      <rPr>
        <sz val="11"/>
        <color theme="1"/>
        <rFont val="Aptos Narrow"/>
        <family val="2"/>
        <scheme val="minor"/>
      </rPr>
      <t xml:space="preserve">
Indica se o cliente contratou esse adicional (Yes / No).
Ajuda a identificar:
adesão a produtos complementares,
oportunidades de upsell.</t>
    </r>
  </si>
  <si>
    <r>
      <rPr>
        <b/>
        <sz val="11"/>
        <color theme="1"/>
        <rFont val="Aptos Narrow"/>
        <family val="2"/>
        <scheme val="minor"/>
      </rPr>
      <t>EA Play Season Pass Price</t>
    </r>
    <r>
      <rPr>
        <sz val="11"/>
        <color theme="1"/>
        <rFont val="Aptos Narrow"/>
        <family val="2"/>
        <scheme val="minor"/>
      </rPr>
      <t xml:space="preserve">
Valor pago pelo EA Play Season Pass.
Usado para:
calcular receita adicional,
entender impacto dos extras no ticket médio.</t>
    </r>
  </si>
  <si>
    <r>
      <rPr>
        <b/>
        <sz val="11"/>
        <color theme="1"/>
        <rFont val="Aptos Narrow"/>
        <family val="2"/>
        <scheme val="minor"/>
      </rPr>
      <t>Minecraft Season Pass</t>
    </r>
    <r>
      <rPr>
        <sz val="11"/>
        <color theme="1"/>
        <rFont val="Aptos Narrow"/>
        <family val="2"/>
        <scheme val="minor"/>
      </rPr>
      <t xml:space="preserve">
Indica se o cliente contratou o Season Pass do Minecraft.
Permite analisar:
popularidade do produto,
combinação de produtos mais vendida.</t>
    </r>
  </si>
  <si>
    <r>
      <rPr>
        <b/>
        <sz val="11"/>
        <color theme="1"/>
        <rFont val="Aptos Narrow"/>
        <family val="2"/>
        <scheme val="minor"/>
      </rPr>
      <t>Minecraft Season Pass Price</t>
    </r>
    <r>
      <rPr>
        <sz val="11"/>
        <color theme="1"/>
        <rFont val="Aptos Narrow"/>
        <family val="2"/>
        <scheme val="minor"/>
      </rPr>
      <t xml:space="preserve">
Valor pago pelo Season Pass do Minecraft.
Complementa a análise de:
receita total, mix de produtos.</t>
    </r>
  </si>
  <si>
    <r>
      <rPr>
        <b/>
        <sz val="11"/>
        <color theme="1"/>
        <rFont val="Aptos Narrow"/>
        <family val="2"/>
        <scheme val="minor"/>
      </rPr>
      <t>Coupon Value</t>
    </r>
    <r>
      <rPr>
        <sz val="11"/>
        <color theme="1"/>
        <rFont val="Aptos Narrow"/>
        <family val="2"/>
        <scheme val="minor"/>
      </rPr>
      <t xml:space="preserve">
Valor do desconto aplicado via cupom.
Importante para:
análise de impacto de promoções,
entender redução de receita,
avaliar estratégias comerciais.</t>
    </r>
  </si>
  <si>
    <r>
      <rPr>
        <b/>
        <sz val="11"/>
        <color theme="1"/>
        <rFont val="Aptos Narrow"/>
        <family val="2"/>
        <scheme val="minor"/>
      </rPr>
      <t>Total Value</t>
    </r>
    <r>
      <rPr>
        <sz val="11"/>
        <color theme="1"/>
        <rFont val="Aptos Narrow"/>
        <family val="2"/>
        <scheme val="minor"/>
      </rPr>
      <t xml:space="preserve">
Valor final pago pelo cliente.
Resultado da soma:
assinatura base
adicionais
desconto do cupom
É uma das principais métricas do dashboard, pois representa a receita efetiva.</t>
    </r>
  </si>
  <si>
    <t>Rótulos de Linha</t>
  </si>
  <si>
    <t>Total Geral</t>
  </si>
  <si>
    <t>Soma de Total Value</t>
  </si>
  <si>
    <t>(Tudo)</t>
  </si>
  <si>
    <r>
      <rPr>
        <b/>
        <sz val="11"/>
        <color theme="1"/>
        <rFont val="Aptos Narrow"/>
        <family val="2"/>
        <scheme val="minor"/>
      </rPr>
      <t>Subscription Type</t>
    </r>
    <r>
      <rPr>
        <sz val="11"/>
        <color theme="1"/>
        <rFont val="Aptos Narrow"/>
        <family val="2"/>
        <scheme val="minor"/>
      </rPr>
      <t xml:space="preserve">
Tipos de assinatura:
Frequência de cobrança:
Monthly (mensal),
Quarterly (trimestral),
Annual (anual).
Essencial para entender:
comportamento de pagamento, contratos mais longos,
estabilidade de receita.</t>
    </r>
  </si>
  <si>
    <t>Contagem de Total Value</t>
  </si>
  <si>
    <r>
      <rPr>
        <b/>
        <sz val="11"/>
        <color theme="1"/>
        <rFont val="Aptos Narrow"/>
        <family val="2"/>
        <scheme val="minor"/>
      </rPr>
      <t>Start Date</t>
    </r>
    <r>
      <rPr>
        <sz val="11"/>
        <color theme="1"/>
        <rFont val="Aptos Narrow"/>
        <family val="2"/>
        <scheme val="minor"/>
      </rPr>
      <t xml:space="preserve">
Data de início da assinatura.
Base para análises de:
crescimento de clientes ao longo do tempo,entrada de novos assinantes por mês,cortes (clientes por período de entrada).</t>
    </r>
  </si>
  <si>
    <t>Soma de Coupon Value</t>
  </si>
  <si>
    <t>Plano de assinatura</t>
  </si>
  <si>
    <t>Posicionamento (básico, premium, ultimate, etc.)</t>
  </si>
  <si>
    <t>Modalidade de pagamento</t>
  </si>
  <si>
    <t>Frequência de cobrança (mensal, trimestral, anual)</t>
  </si>
  <si>
    <r>
      <t xml:space="preserve">1) Qual </t>
    </r>
    <r>
      <rPr>
        <b/>
        <sz val="16"/>
        <color theme="1"/>
        <rFont val="Aptos Narrow"/>
        <family val="2"/>
        <scheme val="minor"/>
      </rPr>
      <t xml:space="preserve">faturamento total de vendas do plano Ultimate </t>
    </r>
    <r>
      <rPr>
        <sz val="16"/>
        <color theme="1"/>
        <rFont val="Aptos Narrow"/>
        <family val="2"/>
        <scheme val="minor"/>
      </rPr>
      <t>(contendo todas as modalidades de pagamento) ( Recurso: Cartão)</t>
    </r>
  </si>
  <si>
    <r>
      <t xml:space="preserve">3) Qual o cupom mais utilizado pelos usuários no </t>
    </r>
    <r>
      <rPr>
        <b/>
        <sz val="16"/>
        <color theme="1"/>
        <rFont val="Aptos Narrow"/>
        <family val="2"/>
        <scheme val="minor"/>
      </rPr>
      <t>plano Ultimate</t>
    </r>
    <r>
      <rPr>
        <sz val="16"/>
        <color theme="1"/>
        <rFont val="Aptos Narrow"/>
        <family val="2"/>
        <scheme val="minor"/>
      </rPr>
      <t xml:space="preserve"> em todas as  as modalidades de pagamento? (Recurso: Gráfico)</t>
    </r>
  </si>
  <si>
    <t>Gráfico 1</t>
  </si>
  <si>
    <t>Gráfico 2</t>
  </si>
  <si>
    <t>Cartão 1 - Faturamento total Ultimate</t>
  </si>
  <si>
    <r>
      <t xml:space="preserve">2)  Qual faturamento total de vendas do </t>
    </r>
    <r>
      <rPr>
        <b/>
        <sz val="16"/>
        <color theme="1"/>
        <rFont val="Aptos Narrow"/>
        <family val="2"/>
        <scheme val="minor"/>
      </rPr>
      <t>plano Ultimate</t>
    </r>
    <r>
      <rPr>
        <sz val="16"/>
        <color theme="1"/>
        <rFont val="Aptos Narrow"/>
        <family val="2"/>
        <scheme val="minor"/>
      </rPr>
      <t xml:space="preserve"> na modalidades de pagamento anual</t>
    </r>
    <r>
      <rPr>
        <b/>
        <sz val="16"/>
        <color theme="1"/>
        <rFont val="Aptos Narrow"/>
        <family val="2"/>
        <scheme val="minor"/>
      </rPr>
      <t>, separado por renovação e nova assinatura</t>
    </r>
    <r>
      <rPr>
        <sz val="16"/>
        <color theme="1"/>
        <rFont val="Aptos Narrow"/>
        <family val="2"/>
        <scheme val="minor"/>
      </rPr>
      <t>. ( Recurso: Gráfico)</t>
    </r>
  </si>
  <si>
    <t>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</si>
</sst>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9" borderId="5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0" borderId="0" xfId="0" pivotButton="1"/>
    <xf numFmtId="44" fontId="0" fillId="0" borderId="0" xfId="0" applyNumberFormat="1" applyAlignment="1">
      <alignment horizontal="left"/>
    </xf>
    <xf numFmtId="4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0" fontId="0" fillId="9" borderId="0" xfId="0" applyFill="1"/>
    <xf numFmtId="14" fontId="0" fillId="10" borderId="0" xfId="0" applyNumberFormat="1" applyFill="1"/>
    <xf numFmtId="0" fontId="3" fillId="11" borderId="0" xfId="0" applyFont="1" applyFill="1" applyAlignment="1">
      <alignment horizontal="center"/>
    </xf>
    <xf numFmtId="164" fontId="0" fillId="10" borderId="0" xfId="0" applyNumberFormat="1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z val="9"/>
        <name val="Segoe UI"/>
        <family val="2"/>
        <scheme val="non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9"/>
      </font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9"/>
        <color theme="1"/>
        <name val="Segoe UI"/>
        <family val="2"/>
        <scheme val="none"/>
      </font>
      <fill>
        <patternFill patternType="none">
          <bgColor auto="1"/>
        </patternFill>
      </fill>
      <border diagonalDown="1">
        <left/>
        <right/>
        <top/>
        <bottom/>
        <diagonal style="thin">
          <color theme="9"/>
        </diagonal>
        <vertical/>
        <horizontal/>
      </border>
    </dxf>
  </dxfs>
  <tableStyles count="3" defaultTableStyle="TableStyleMedium2" defaultPivotStyle="PivotStyleLight16">
    <tableStyle name="Botões" pivot="0" table="0" count="10" xr9:uid="{0BA6ED92-A202-4E84-8804-2B0A65A240FE}">
      <tableStyleElement type="wholeTable" dxfId="22"/>
      <tableStyleElement type="headerRow" dxfId="21"/>
    </tableStyle>
    <tableStyle name="Estilo de Segmentação de Dados 1" pivot="0" table="0" count="1" xr9:uid="{D3B7577B-71D8-4DC7-9386-DFBEAFB9F296}">
      <tableStyleElement type="headerRow" dxfId="20"/>
    </tableStyle>
    <tableStyle name="Estilo de Segmentação de Dados 2" pivot="0" table="0" count="1" xr9:uid="{B9A388BE-9A9B-4600-A84E-00262908CEC6}">
      <tableStyleElement type="wholeTable" dxfId="19"/>
    </tableStyle>
  </tableStyles>
  <colors>
    <mruColors>
      <color rgb="FF22C55E"/>
      <color rgb="FF9BC848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otõ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[planilha_base.xlsx]C̳álculos!Tabela dinâmica9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C̳álculos!$C$31:$C$33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C̳álculos!$D$31:$D$33</c:f>
              <c:numCache>
                <c:formatCode>General</c:formatCode>
                <c:ptCount val="2"/>
                <c:pt idx="0">
                  <c:v>1836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6-46F4-9773-26F2D8B4A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3166303"/>
        <c:axId val="1148018671"/>
      </c:barChart>
      <c:catAx>
        <c:axId val="213316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018671"/>
        <c:crosses val="autoZero"/>
        <c:auto val="1"/>
        <c:lblAlgn val="ctr"/>
        <c:lblOffset val="100"/>
        <c:noMultiLvlLbl val="0"/>
      </c:catAx>
      <c:valAx>
        <c:axId val="11480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16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[planilha_base.xlsx]C̳álculos!Tabela dinâmica10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C̳álculos!$C$39:$C$46</c:f>
              <c:strCach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strCache>
            </c:strRef>
          </c:cat>
          <c:val>
            <c:numRef>
              <c:f>C̳álculos!$D$39:$D$46</c:f>
              <c:numCache>
                <c:formatCode>General</c:formatCode>
                <c:ptCount val="7"/>
                <c:pt idx="0">
                  <c:v>21</c:v>
                </c:pt>
                <c:pt idx="1">
                  <c:v>15</c:v>
                </c:pt>
                <c:pt idx="2">
                  <c:v>23</c:v>
                </c:pt>
                <c:pt idx="3">
                  <c:v>1</c:v>
                </c:pt>
                <c:pt idx="4">
                  <c:v>1</c:v>
                </c:pt>
                <c:pt idx="5">
                  <c:v>15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C-454D-8C4D-8460A9E6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473903"/>
        <c:axId val="1351474383"/>
      </c:barChart>
      <c:catAx>
        <c:axId val="13514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74383"/>
        <c:crosses val="autoZero"/>
        <c:auto val="1"/>
        <c:lblAlgn val="ctr"/>
        <c:lblOffset val="100"/>
        <c:noMultiLvlLbl val="0"/>
      </c:catAx>
      <c:valAx>
        <c:axId val="135147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7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[planilha_base.xlsx]C̳álculos!Tabela dinâmica11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C̳álculos!$F$39:$F$46</c:f>
              <c:strCache>
                <c:ptCount val="7"/>
                <c:pt idx="0">
                  <c:v> R$ 3,00 </c:v>
                </c:pt>
                <c:pt idx="1">
                  <c:v> R$ 5,00 </c:v>
                </c:pt>
                <c:pt idx="2">
                  <c:v> R$ 7,00 </c:v>
                </c:pt>
                <c:pt idx="3">
                  <c:v> R$ 8,00 </c:v>
                </c:pt>
                <c:pt idx="4">
                  <c:v> R$ 10,00 </c:v>
                </c:pt>
                <c:pt idx="5">
                  <c:v> R$ 15,00 </c:v>
                </c:pt>
                <c:pt idx="6">
                  <c:v> R$ 20,00 </c:v>
                </c:pt>
              </c:strCache>
            </c:strRef>
          </c:cat>
          <c:val>
            <c:numRef>
              <c:f>C̳álculos!$G$39:$G$46</c:f>
              <c:numCache>
                <c:formatCode>_("R$"* #,##0.00_);_("R$"* \(#,##0.00\);_("R$"* "-"??_);_(@_)</c:formatCode>
                <c:ptCount val="7"/>
                <c:pt idx="0">
                  <c:v>63</c:v>
                </c:pt>
                <c:pt idx="1">
                  <c:v>75</c:v>
                </c:pt>
                <c:pt idx="2">
                  <c:v>161</c:v>
                </c:pt>
                <c:pt idx="3">
                  <c:v>8</c:v>
                </c:pt>
                <c:pt idx="4">
                  <c:v>10</c:v>
                </c:pt>
                <c:pt idx="5">
                  <c:v>225</c:v>
                </c:pt>
                <c:pt idx="6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9-4739-ACAF-A6DB146DC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350288"/>
        <c:axId val="447355568"/>
      </c:barChart>
      <c:catAx>
        <c:axId val="4473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355568"/>
        <c:crosses val="autoZero"/>
        <c:auto val="1"/>
        <c:lblAlgn val="ctr"/>
        <c:lblOffset val="100"/>
        <c:noMultiLvlLbl val="0"/>
      </c:catAx>
      <c:valAx>
        <c:axId val="4473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35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[planilha_base.xlsx]C̳álculos!Tabela dinâmica9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C̳álculos!$C$31:$C$33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C̳álculos!$D$31:$D$33</c:f>
              <c:numCache>
                <c:formatCode>General</c:formatCode>
                <c:ptCount val="2"/>
                <c:pt idx="0">
                  <c:v>1836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B-4D41-8586-BD8EFCAC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3166303"/>
        <c:axId val="1148018671"/>
      </c:barChart>
      <c:catAx>
        <c:axId val="2133166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Auto Renewal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018671"/>
        <c:crosses val="autoZero"/>
        <c:auto val="1"/>
        <c:lblAlgn val="ctr"/>
        <c:lblOffset val="100"/>
        <c:noMultiLvlLbl val="0"/>
      </c:catAx>
      <c:valAx>
        <c:axId val="11480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16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[planilha_base.xlsx]C̳álculos!Tabela dinâmica10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C̳álculos!$C$39:$C$46</c:f>
              <c:strCach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strCache>
            </c:strRef>
          </c:cat>
          <c:val>
            <c:numRef>
              <c:f>C̳álculos!$D$39:$D$46</c:f>
              <c:numCache>
                <c:formatCode>General</c:formatCode>
                <c:ptCount val="7"/>
                <c:pt idx="0">
                  <c:v>21</c:v>
                </c:pt>
                <c:pt idx="1">
                  <c:v>15</c:v>
                </c:pt>
                <c:pt idx="2">
                  <c:v>23</c:v>
                </c:pt>
                <c:pt idx="3">
                  <c:v>1</c:v>
                </c:pt>
                <c:pt idx="4">
                  <c:v>1</c:v>
                </c:pt>
                <c:pt idx="5">
                  <c:v>15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9-407B-BF6D-CD32428A4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473903"/>
        <c:axId val="1351474383"/>
      </c:barChart>
      <c:catAx>
        <c:axId val="135147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Cupom</a:t>
                </a:r>
              </a:p>
            </c:rich>
          </c:tx>
          <c:layout>
            <c:manualLayout>
              <c:xMode val="edge"/>
              <c:yMode val="edge"/>
              <c:x val="0.4191289439318745"/>
              <c:y val="0.82946416481396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&quot;R$&quot;\ * #,##0.000_-;\-&quot;R$&quot;\ * #,##0.000_-;_-&quot;R$&quot;\ * &quot;-&quot;???_-;_-@_-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74383"/>
        <c:crosses val="autoZero"/>
        <c:auto val="1"/>
        <c:lblAlgn val="ctr"/>
        <c:lblOffset val="100"/>
        <c:noMultiLvlLbl val="0"/>
      </c:catAx>
      <c:valAx>
        <c:axId val="135147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baseline="0"/>
                  <a:t>Quantidade de usos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566746022404078E-2"/>
              <c:y val="0.1028872071504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7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[planilha_base.xlsx]C̳álculos!Tabela dinâmica11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C̳álculos!$F$39:$F$46</c:f>
              <c:strCache>
                <c:ptCount val="7"/>
                <c:pt idx="0">
                  <c:v> R$ 3,00 </c:v>
                </c:pt>
                <c:pt idx="1">
                  <c:v> R$ 5,00 </c:v>
                </c:pt>
                <c:pt idx="2">
                  <c:v> R$ 7,00 </c:v>
                </c:pt>
                <c:pt idx="3">
                  <c:v> R$ 8,00 </c:v>
                </c:pt>
                <c:pt idx="4">
                  <c:v> R$ 10,00 </c:v>
                </c:pt>
                <c:pt idx="5">
                  <c:v> R$ 15,00 </c:v>
                </c:pt>
                <c:pt idx="6">
                  <c:v> R$ 20,00 </c:v>
                </c:pt>
              </c:strCache>
            </c:strRef>
          </c:cat>
          <c:val>
            <c:numRef>
              <c:f>C̳álculos!$G$39:$G$46</c:f>
              <c:numCache>
                <c:formatCode>_("R$"* #,##0.00_);_("R$"* \(#,##0.00\);_("R$"* "-"??_);_(@_)</c:formatCode>
                <c:ptCount val="7"/>
                <c:pt idx="0">
                  <c:v>63</c:v>
                </c:pt>
                <c:pt idx="1">
                  <c:v>75</c:v>
                </c:pt>
                <c:pt idx="2">
                  <c:v>161</c:v>
                </c:pt>
                <c:pt idx="3">
                  <c:v>8</c:v>
                </c:pt>
                <c:pt idx="4">
                  <c:v>10</c:v>
                </c:pt>
                <c:pt idx="5">
                  <c:v>225</c:v>
                </c:pt>
                <c:pt idx="6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A65-8D7C-5934E5EEA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350288"/>
        <c:axId val="447355568"/>
      </c:barChart>
      <c:catAx>
        <c:axId val="447350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355568"/>
        <c:crosses val="autoZero"/>
        <c:auto val="1"/>
        <c:lblAlgn val="ctr"/>
        <c:lblOffset val="100"/>
        <c:noMultiLvlLbl val="0"/>
      </c:catAx>
      <c:valAx>
        <c:axId val="447355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4473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1</xdr:row>
      <xdr:rowOff>91440</xdr:rowOff>
    </xdr:from>
    <xdr:to>
      <xdr:col>5</xdr:col>
      <xdr:colOff>1074420</xdr:colOff>
      <xdr:row>18</xdr:row>
      <xdr:rowOff>91440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CA0B2BA-45C1-3EDE-C923-7AC4151CDAFD}"/>
            </a:ext>
          </a:extLst>
        </xdr:cNvPr>
        <xdr:cNvSpPr/>
      </xdr:nvSpPr>
      <xdr:spPr>
        <a:xfrm>
          <a:off x="1104900" y="274320"/>
          <a:ext cx="4983480" cy="3108960"/>
        </a:xfrm>
        <a:prstGeom prst="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1600" b="1"/>
            <a:t>Como gerar informação a partir dos dados</a:t>
          </a:r>
        </a:p>
        <a:p>
          <a:r>
            <a:rPr lang="pt-BR"/>
            <a:t>Dados, por si só, não geram valor.</a:t>
          </a:r>
          <a:br>
            <a:rPr lang="pt-BR"/>
          </a:br>
          <a:r>
            <a:rPr lang="pt-BR"/>
            <a:t>Eles são apenas registros brutos da realidade: números, datas, volumes, tempos, custos.</a:t>
          </a:r>
          <a:br>
            <a:rPr lang="pt-BR"/>
          </a:br>
          <a:r>
            <a:rPr lang="pt-BR"/>
            <a:t>A </a:t>
          </a:r>
          <a:r>
            <a:rPr lang="pt-BR" b="1"/>
            <a:t>informação nasce quando o dado é interpretado com um propósito claro</a:t>
          </a:r>
          <a:r>
            <a:rPr lang="pt-BR"/>
            <a:t>.</a:t>
          </a:r>
        </a:p>
        <a:p>
          <a:r>
            <a:rPr lang="pt-BR"/>
            <a:t>Esse propósito vem das </a:t>
          </a:r>
          <a:r>
            <a:rPr lang="pt-BR" b="1"/>
            <a:t>perguntas de negócio</a:t>
          </a:r>
          <a:r>
            <a:rPr lang="pt-BR"/>
            <a:t>.</a:t>
          </a:r>
        </a:p>
        <a:p>
          <a:r>
            <a:rPr lang="pt-BR"/>
            <a:t>Tudo começa com a pergunta certa.</a:t>
          </a:r>
          <a:br>
            <a:rPr lang="pt-BR"/>
          </a:br>
          <a:r>
            <a:rPr lang="pt-BR"/>
            <a:t>Exemplos simples:</a:t>
          </a:r>
        </a:p>
        <a:p>
          <a:r>
            <a:rPr lang="pt-BR"/>
            <a:t>O faturamento está crescendo ou caindo?</a:t>
          </a:r>
        </a:p>
        <a:p>
          <a:r>
            <a:rPr lang="pt-BR"/>
            <a:t>Qual produto gera mais lucro?</a:t>
          </a:r>
        </a:p>
        <a:p>
          <a:r>
            <a:rPr lang="pt-BR"/>
            <a:t>Onde estou perdendo dinheiro?</a:t>
          </a:r>
        </a:p>
        <a:p>
          <a:r>
            <a:rPr lang="pt-BR"/>
            <a:t>Em que período vendo mais?</a:t>
          </a:r>
        </a:p>
        <a:p>
          <a:r>
            <a:rPr lang="pt-BR"/>
            <a:t>Meu custo está adequado ao meu preço?</a:t>
          </a:r>
        </a:p>
        <a:p>
          <a:r>
            <a:rPr lang="pt-BR"/>
            <a:t>Essas perguntas traduzem dores, decisões e objetivos do negócio.</a:t>
          </a:r>
          <a:br>
            <a:rPr lang="pt-BR"/>
          </a:br>
          <a:r>
            <a:rPr lang="pt-BR"/>
            <a:t>Sem elas, o dashboard vira apenas um painel bonito, mas vazio de sentido.</a:t>
          </a:r>
        </a:p>
        <a:p>
          <a:pPr algn="l"/>
          <a:endParaRPr lang="pt-BR" sz="1100"/>
        </a:p>
      </xdr:txBody>
    </xdr:sp>
    <xdr:clientData/>
  </xdr:twoCellAnchor>
  <xdr:twoCellAnchor>
    <xdr:from>
      <xdr:col>5</xdr:col>
      <xdr:colOff>1181100</xdr:colOff>
      <xdr:row>1</xdr:row>
      <xdr:rowOff>91440</xdr:rowOff>
    </xdr:from>
    <xdr:to>
      <xdr:col>9</xdr:col>
      <xdr:colOff>1135380</xdr:colOff>
      <xdr:row>18</xdr:row>
      <xdr:rowOff>91440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D37F5D9-45D0-BF8E-8DC7-73B0D61092B1}"/>
            </a:ext>
          </a:extLst>
        </xdr:cNvPr>
        <xdr:cNvSpPr/>
      </xdr:nvSpPr>
      <xdr:spPr>
        <a:xfrm>
          <a:off x="6195060" y="274320"/>
          <a:ext cx="4983480" cy="3108960"/>
        </a:xfrm>
        <a:prstGeom prst="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1100" b="1"/>
            <a:t>Da pergunta à informação</a:t>
          </a:r>
        </a:p>
        <a:p>
          <a:r>
            <a:rPr lang="pt-BR" sz="1100"/>
            <a:t>Após definir a pergunta de negócio, entramos no campo dos dados.</a:t>
          </a:r>
          <a:br>
            <a:rPr lang="pt-BR" sz="1100"/>
          </a:br>
          <a:r>
            <a:rPr lang="pt-BR" sz="1100"/>
            <a:t>Para responder à pergunta, precisamos:</a:t>
          </a:r>
        </a:p>
        <a:p>
          <a:r>
            <a:rPr lang="pt-BR" sz="1100" b="1"/>
            <a:t>Selecionar os dados corretos</a:t>
          </a:r>
          <a:br>
            <a:rPr lang="pt-BR" sz="1100"/>
          </a:br>
          <a:r>
            <a:rPr lang="pt-BR" sz="1100"/>
            <a:t>Nem todo dado é relevante. O foco deve estar apenas naquilo que ajuda a responder à pergunta.</a:t>
          </a:r>
        </a:p>
        <a:p>
          <a:r>
            <a:rPr lang="pt-BR" sz="1100" b="1"/>
            <a:t>Aplicar cálculos</a:t>
          </a:r>
          <a:br>
            <a:rPr lang="pt-BR" sz="1100"/>
          </a:br>
          <a:r>
            <a:rPr lang="pt-BR" sz="1100"/>
            <a:t>Os dados brutos são transformados em métricas:</a:t>
          </a:r>
          <a:br>
            <a:rPr lang="pt-BR" sz="1100"/>
          </a:br>
          <a:r>
            <a:rPr lang="pt-BR" sz="1100"/>
            <a:t>soma, média, percentual, margem, variação, comparação entre períodos.</a:t>
          </a:r>
        </a:p>
        <a:p>
          <a:r>
            <a:rPr lang="pt-BR" sz="1100" b="1"/>
            <a:t>Organizar em tabelas</a:t>
          </a:r>
          <a:br>
            <a:rPr lang="pt-BR" sz="1100"/>
          </a:br>
          <a:r>
            <a:rPr lang="pt-BR" sz="1100"/>
            <a:t>As tabelas estruturam a informação e permitem conferência, detalhe e análise mais profunda.</a:t>
          </a:r>
        </a:p>
        <a:p>
          <a:r>
            <a:rPr lang="pt-BR" sz="1100" b="1"/>
            <a:t>Visualizar em gráficos</a:t>
          </a:r>
          <a:br>
            <a:rPr lang="pt-BR" sz="1100"/>
          </a:br>
          <a:r>
            <a:rPr lang="pt-BR" sz="1100"/>
            <a:t>Os gráficos facilitam a leitura, revelam padrões, tendências e desvios de forma rápida e intuitiva.</a:t>
          </a:r>
        </a:p>
        <a:p>
          <a:r>
            <a:rPr lang="pt-BR" sz="1100"/>
            <a:t>É nesse processo que o dado deixa de ser apenas número e passa a ser </a:t>
          </a:r>
          <a:r>
            <a:rPr lang="pt-BR" sz="1100" b="1"/>
            <a:t>informação acionável</a:t>
          </a:r>
          <a:r>
            <a:rPr lang="pt-BR" sz="1100"/>
            <a:t>.</a:t>
          </a:r>
        </a:p>
        <a:p>
          <a:pPr algn="l"/>
          <a:endParaRPr lang="pt-BR" sz="1100"/>
        </a:p>
      </xdr:txBody>
    </xdr:sp>
    <xdr:clientData/>
  </xdr:twoCellAnchor>
  <xdr:twoCellAnchor>
    <xdr:from>
      <xdr:col>9</xdr:col>
      <xdr:colOff>1249680</xdr:colOff>
      <xdr:row>1</xdr:row>
      <xdr:rowOff>99060</xdr:rowOff>
    </xdr:from>
    <xdr:to>
      <xdr:col>13</xdr:col>
      <xdr:colOff>91440</xdr:colOff>
      <xdr:row>18</xdr:row>
      <xdr:rowOff>99060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71BBD36-8F00-65DE-820E-003898D7603A}"/>
            </a:ext>
          </a:extLst>
        </xdr:cNvPr>
        <xdr:cNvSpPr/>
      </xdr:nvSpPr>
      <xdr:spPr>
        <a:xfrm>
          <a:off x="11292840" y="281940"/>
          <a:ext cx="4983480" cy="3108960"/>
        </a:xfrm>
        <a:prstGeom prst="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b="1"/>
            <a:t>Um bom dashboard não responde tudo.</a:t>
          </a:r>
          <a:br>
            <a:rPr lang="pt-BR"/>
          </a:br>
          <a:r>
            <a:rPr lang="pt-BR"/>
            <a:t>Ele responde apenas </a:t>
          </a:r>
          <a:r>
            <a:rPr lang="pt-BR" b="1"/>
            <a:t>o que é mais importante para o negócio naquele momento</a:t>
          </a:r>
          <a:r>
            <a:rPr lang="pt-BR"/>
            <a:t>.</a:t>
          </a:r>
        </a:p>
        <a:p>
          <a:r>
            <a:rPr lang="pt-BR"/>
            <a:t>Quando tentamos mostrar tudo, a informação se perde e a decisão fica confusa.</a:t>
          </a:r>
        </a:p>
        <a:p>
          <a:r>
            <a:rPr lang="pt-BR"/>
            <a:t>O objetivo do dashboard é facilitar a leitura da realidade do negócio.</a:t>
          </a:r>
          <a:br>
            <a:rPr lang="pt-BR"/>
          </a:br>
          <a:r>
            <a:rPr lang="pt-BR"/>
            <a:t>Por isso, ele deve ser </a:t>
          </a:r>
          <a:r>
            <a:rPr lang="pt-BR" b="1"/>
            <a:t>simples, claro e direto</a:t>
          </a:r>
          <a:r>
            <a:rPr lang="pt-BR"/>
            <a:t>.</a:t>
          </a:r>
        </a:p>
        <a:p>
          <a:r>
            <a:rPr lang="pt-BR"/>
            <a:t>Qualquer pessoa, mesmo sem conhecimento técnico, deve olhar para o dashboard e conseguir responder perguntas como:</a:t>
          </a:r>
          <a:br>
            <a:rPr lang="pt-BR"/>
          </a:br>
          <a:r>
            <a:rPr lang="pt-BR" i="1"/>
            <a:t>“O negócio está indo bem?”</a:t>
          </a:r>
          <a:br>
            <a:rPr lang="pt-BR"/>
          </a:br>
          <a:r>
            <a:rPr lang="pt-BR" i="1"/>
            <a:t>“Onde preciso prestar atenção agora?”</a:t>
          </a:r>
          <a:endParaRPr lang="pt-BR"/>
        </a:p>
        <a:p>
          <a:r>
            <a:rPr lang="pt-BR"/>
            <a:t>Um bom dashboard não exige esforço para ser entendido.</a:t>
          </a:r>
          <a:br>
            <a:rPr lang="pt-BR"/>
          </a:br>
          <a:r>
            <a:rPr lang="pt-BR"/>
            <a:t>Ele </a:t>
          </a:r>
          <a:r>
            <a:rPr lang="pt-BR" b="1"/>
            <a:t>mostra o essencial, orienta a decisão e apoia a ação</a:t>
          </a:r>
          <a:r>
            <a:rPr lang="pt-BR"/>
            <a:t>.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998220</xdr:colOff>
      <xdr:row>53</xdr:row>
      <xdr:rowOff>152400</xdr:rowOff>
    </xdr:from>
    <xdr:to>
      <xdr:col>10</xdr:col>
      <xdr:colOff>403860</xdr:colOff>
      <xdr:row>68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4009930-3AE1-5ED2-31DE-37F3EBA04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</xdr:colOff>
      <xdr:row>53</xdr:row>
      <xdr:rowOff>144780</xdr:rowOff>
    </xdr:from>
    <xdr:to>
      <xdr:col>18</xdr:col>
      <xdr:colOff>655320</xdr:colOff>
      <xdr:row>68</xdr:row>
      <xdr:rowOff>144780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E91DFE-C82A-C0E8-C128-992A6A401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271626</xdr:colOff>
      <xdr:row>54</xdr:row>
      <xdr:rowOff>4618</xdr:rowOff>
    </xdr:from>
    <xdr:to>
      <xdr:col>2</xdr:col>
      <xdr:colOff>884305</xdr:colOff>
      <xdr:row>67</xdr:row>
      <xdr:rowOff>184438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37EFC16B-7A49-0887-7E09-47B73B71F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626" y="10318557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1177636</xdr:colOff>
      <xdr:row>33</xdr:row>
      <xdr:rowOff>121612</xdr:rowOff>
    </xdr:from>
    <xdr:to>
      <xdr:col>14</xdr:col>
      <xdr:colOff>107759</xdr:colOff>
      <xdr:row>49</xdr:row>
      <xdr:rowOff>46182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668AE54-4AE2-C300-9725-EE84E3805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261258</xdr:colOff>
      <xdr:row>0</xdr:row>
      <xdr:rowOff>54305</xdr:rowOff>
    </xdr:from>
    <xdr:to>
      <xdr:col>401</xdr:col>
      <xdr:colOff>74839</xdr:colOff>
      <xdr:row>0</xdr:row>
      <xdr:rowOff>663905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AEDDB1CB-D2CE-BE09-1712-E57162AFD99B}"/>
            </a:ext>
          </a:extLst>
        </xdr:cNvPr>
        <xdr:cNvGrpSpPr/>
      </xdr:nvGrpSpPr>
      <xdr:grpSpPr>
        <a:xfrm>
          <a:off x="261258" y="54305"/>
          <a:ext cx="9228292" cy="609600"/>
          <a:chOff x="186419" y="81519"/>
          <a:chExt cx="9552252" cy="609600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8C9D577E-76A5-4792-AD07-78131BB178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65089" b="-6799"/>
          <a:stretch>
            <a:fillRect/>
          </a:stretch>
        </xdr:blipFill>
        <xdr:spPr>
          <a:xfrm>
            <a:off x="186419" y="122094"/>
            <a:ext cx="592553" cy="528451"/>
          </a:xfrm>
          <a:prstGeom prst="rect">
            <a:avLst/>
          </a:prstGeom>
        </xdr:spPr>
      </xdr:pic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4E7B7FF3-4ED9-F7A0-B914-BF3FB99EC946}"/>
              </a:ext>
            </a:extLst>
          </xdr:cNvPr>
          <xdr:cNvSpPr/>
        </xdr:nvSpPr>
        <xdr:spPr>
          <a:xfrm>
            <a:off x="836839" y="81519"/>
            <a:ext cx="8901832" cy="609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2800" b="1">
                <a:latin typeface="Segoe UI" panose="020B0502040204020203" pitchFamily="34" charset="0"/>
                <a:cs typeface="Segoe UI" panose="020B0502040204020203" pitchFamily="34" charset="0"/>
              </a:rPr>
              <a:t>Dashboard de Desempenho – Plano Ultimate</a:t>
            </a:r>
          </a:p>
        </xdr:txBody>
      </xdr:sp>
    </xdr:grpSp>
    <xdr:clientData/>
  </xdr:twoCellAnchor>
  <xdr:twoCellAnchor editAs="absolute">
    <xdr:from>
      <xdr:col>1</xdr:col>
      <xdr:colOff>225196</xdr:colOff>
      <xdr:row>1</xdr:row>
      <xdr:rowOff>236507</xdr:rowOff>
    </xdr:from>
    <xdr:to>
      <xdr:col>15</xdr:col>
      <xdr:colOff>374196</xdr:colOff>
      <xdr:row>37</xdr:row>
      <xdr:rowOff>40825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C6E7AF2-D40F-5A6E-15CA-24BA0F4E6725}"/>
            </a:ext>
          </a:extLst>
        </xdr:cNvPr>
        <xdr:cNvGrpSpPr/>
      </xdr:nvGrpSpPr>
      <xdr:grpSpPr>
        <a:xfrm>
          <a:off x="1147617" y="978454"/>
          <a:ext cx="8180079" cy="6822739"/>
          <a:chOff x="1150482" y="978096"/>
          <a:chExt cx="8190821" cy="691405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92BF1BAE-E684-5C74-4ED6-87CC0E8D85D0}"/>
              </a:ext>
            </a:extLst>
          </xdr:cNvPr>
          <xdr:cNvGrpSpPr/>
        </xdr:nvGrpSpPr>
        <xdr:grpSpPr>
          <a:xfrm>
            <a:off x="1150482" y="978096"/>
            <a:ext cx="8136394" cy="722798"/>
            <a:chOff x="1007607" y="828414"/>
            <a:chExt cx="8136394" cy="722798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BF524A03-08A8-FBB5-431B-21EA4E4ADC20}"/>
                </a:ext>
              </a:extLst>
            </xdr:cNvPr>
            <xdr:cNvSpPr/>
          </xdr:nvSpPr>
          <xdr:spPr>
            <a:xfrm>
              <a:off x="1007607" y="828414"/>
              <a:ext cx="8136394" cy="72279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50800" dir="2520000" algn="ctr" rotWithShape="0">
                <a:schemeClr val="bg1">
                  <a:lumMod val="50000"/>
                </a:schemeClr>
              </a:outerShdw>
              <a:softEdge rad="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4" name="Retângulo 3">
              <a:extLst>
                <a:ext uri="{FF2B5EF4-FFF2-40B4-BE49-F238E27FC236}">
                  <a16:creationId xmlns:a16="http://schemas.microsoft.com/office/drawing/2014/main" id="{2C282BC9-EBD7-15EF-1539-D22BE16365C6}"/>
                </a:ext>
              </a:extLst>
            </xdr:cNvPr>
            <xdr:cNvSpPr/>
          </xdr:nvSpPr>
          <xdr:spPr>
            <a:xfrm>
              <a:off x="1988004" y="838078"/>
              <a:ext cx="2754086" cy="70633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Período de análise </a:t>
              </a:r>
              <a:br>
                <a:rPr lang="pt-BR" sz="1600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</a:br>
              <a:r>
                <a:rPr lang="pt-BR" sz="1600" i="1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01/01/2024 a 16/12/2024</a:t>
              </a:r>
              <a:endParaRPr lang="pt-BR" sz="1600">
                <a:solidFill>
                  <a:schemeClr val="accent6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 16">
              <a:extLst>
                <a:ext uri="{FF2B5EF4-FFF2-40B4-BE49-F238E27FC236}">
                  <a16:creationId xmlns:a16="http://schemas.microsoft.com/office/drawing/2014/main" id="{A9A07463-4EDB-4088-95D4-D575E831DA29}"/>
                </a:ext>
              </a:extLst>
            </xdr:cNvPr>
            <xdr:cNvSpPr/>
          </xdr:nvSpPr>
          <xdr:spPr>
            <a:xfrm>
              <a:off x="6021160" y="921003"/>
              <a:ext cx="2165690" cy="503564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/>
            <a:p>
              <a:pPr algn="ctr" eaLnBrk="1" fontAlgn="auto" latinLnBrk="0" hangingPunct="1"/>
              <a:r>
                <a:rPr lang="pt-BR" sz="1600" b="1">
                  <a:solidFill>
                    <a:schemeClr val="accent6">
                      <a:lumMod val="50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Faturamento total </a:t>
              </a:r>
            </a:p>
            <a:p>
              <a:pPr algn="ctr" eaLnBrk="1" fontAlgn="auto" latinLnBrk="0" hangingPunct="1"/>
              <a:r>
                <a:rPr lang="pt-BR" sz="1600" b="1">
                  <a:solidFill>
                    <a:schemeClr val="accent6">
                      <a:lumMod val="50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R$ 5.388,00 </a:t>
              </a:r>
              <a:endParaRPr lang="pt-BR" sz="1600">
                <a:solidFill>
                  <a:schemeClr val="accent6">
                    <a:lumMod val="50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cxnSp macro="">
          <xdr:nvCxnSpPr>
            <xdr:cNvPr id="28" name="Conector reto 27">
              <a:extLst>
                <a:ext uri="{FF2B5EF4-FFF2-40B4-BE49-F238E27FC236}">
                  <a16:creationId xmlns:a16="http://schemas.microsoft.com/office/drawing/2014/main" id="{3FCC3F64-843F-642D-D667-4C3D705B603B}"/>
                </a:ext>
              </a:extLst>
            </xdr:cNvPr>
            <xdr:cNvCxnSpPr/>
          </xdr:nvCxnSpPr>
          <xdr:spPr>
            <a:xfrm>
              <a:off x="5116286" y="932087"/>
              <a:ext cx="0" cy="496662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</xdr:grp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14D48DEC-49E5-F693-EEDA-38F015F6CBE9}"/>
              </a:ext>
            </a:extLst>
          </xdr:cNvPr>
          <xdr:cNvGrpSpPr/>
        </xdr:nvGrpSpPr>
        <xdr:grpSpPr>
          <a:xfrm>
            <a:off x="1150482" y="1860516"/>
            <a:ext cx="8190821" cy="2716245"/>
            <a:chOff x="1000802" y="1753701"/>
            <a:chExt cx="8190821" cy="2716245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2EBF8BE4-4415-7083-1B3E-47DB932B67AE}"/>
                </a:ext>
              </a:extLst>
            </xdr:cNvPr>
            <xdr:cNvSpPr/>
          </xdr:nvSpPr>
          <xdr:spPr>
            <a:xfrm>
              <a:off x="1000802" y="1753701"/>
              <a:ext cx="8190821" cy="271624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50800" dir="2520000" algn="ctr" rotWithShape="0">
                <a:schemeClr val="bg1">
                  <a:lumMod val="50000"/>
                </a:schemeClr>
              </a:outerShdw>
              <a:softEdge rad="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9BA771FA-1269-494A-AC84-9B393D7BFAA7}"/>
                </a:ext>
              </a:extLst>
            </xdr:cNvPr>
            <xdr:cNvGraphicFramePr>
              <a:graphicFrameLocks/>
            </xdr:cNvGraphicFramePr>
          </xdr:nvGraphicFramePr>
          <xdr:xfrm>
            <a:off x="3357859" y="2272393"/>
            <a:ext cx="5636461" cy="180294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2" name="Subscription Type 1">
                  <a:extLst>
                    <a:ext uri="{FF2B5EF4-FFF2-40B4-BE49-F238E27FC236}">
                      <a16:creationId xmlns:a16="http://schemas.microsoft.com/office/drawing/2014/main" id="{1E5B92CA-DCA8-4BAE-8066-5A5E363660E7}"/>
                    </a:ext>
                  </a:extLst>
                </xdr:cNvPr>
                <xdr:cNvGraphicFramePr/>
              </xdr:nvGraphicFramePr>
              <xdr:xfrm>
                <a:off x="1279071" y="2388053"/>
                <a:ext cx="1830160" cy="1836965"/>
              </xdr:xfrm>
              <a:graphic>
                <a:graphicData uri="http://schemas.microsoft.com/office/drawing/2010/slicer">
                  <sle:slicer xmlns:sle="http://schemas.microsoft.com/office/drawing/2010/slicer" name="Subscription Type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428751" y="2494868"/>
                  <a:ext cx="1830160" cy="183696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31" name="Retângulo 30">
              <a:extLst>
                <a:ext uri="{FF2B5EF4-FFF2-40B4-BE49-F238E27FC236}">
                  <a16:creationId xmlns:a16="http://schemas.microsoft.com/office/drawing/2014/main" id="{21D497DA-7837-8AD2-5E41-6E3B86F74413}"/>
                </a:ext>
              </a:extLst>
            </xdr:cNvPr>
            <xdr:cNvSpPr/>
          </xdr:nvSpPr>
          <xdr:spPr>
            <a:xfrm>
              <a:off x="1183821" y="1876224"/>
              <a:ext cx="4129768" cy="246489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/>
            <a:p>
              <a:pPr algn="ctr" eaLnBrk="1" fontAlgn="auto" latinLnBrk="0" hangingPunct="1"/>
              <a:r>
                <a:rPr lang="pt-BR" sz="1600" b="1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Renovação</a:t>
              </a:r>
              <a:r>
                <a:rPr lang="pt-BR" sz="1600" b="1" baseline="0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automática e nova assinatura</a:t>
              </a:r>
              <a:r>
                <a:rPr lang="pt-BR" sz="1600"/>
                <a:t> </a:t>
              </a:r>
              <a:r>
                <a:rPr lang="pt-BR" sz="1600" b="1">
                  <a:solidFill>
                    <a:schemeClr val="accent6">
                      <a:lumMod val="50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</a:t>
              </a:r>
              <a:endParaRPr lang="pt-BR" sz="1600">
                <a:solidFill>
                  <a:schemeClr val="accent6">
                    <a:lumMod val="50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91B5FD5C-5D23-A23D-6277-9469C1D1E5CF}"/>
              </a:ext>
            </a:extLst>
          </xdr:cNvPr>
          <xdr:cNvGrpSpPr/>
        </xdr:nvGrpSpPr>
        <xdr:grpSpPr>
          <a:xfrm>
            <a:off x="1150482" y="4736384"/>
            <a:ext cx="8190821" cy="3155762"/>
            <a:chOff x="1034820" y="4586702"/>
            <a:chExt cx="8190821" cy="3155762"/>
          </a:xfrm>
        </xdr:grpSpPr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BE44EE2D-8E8D-D686-BFCA-7076F1E2213B}"/>
                </a:ext>
              </a:extLst>
            </xdr:cNvPr>
            <xdr:cNvGrpSpPr/>
          </xdr:nvGrpSpPr>
          <xdr:grpSpPr>
            <a:xfrm>
              <a:off x="1034820" y="4586702"/>
              <a:ext cx="8190821" cy="3155762"/>
              <a:chOff x="1034820" y="4586702"/>
              <a:chExt cx="8190821" cy="3155762"/>
            </a:xfrm>
          </xdr:grpSpPr>
          <xdr:sp macro="" textlink="">
            <xdr:nvSpPr>
              <xdr:cNvPr id="25" name="Retângulo: Cantos Arredondados 24">
                <a:extLst>
                  <a:ext uri="{FF2B5EF4-FFF2-40B4-BE49-F238E27FC236}">
                    <a16:creationId xmlns:a16="http://schemas.microsoft.com/office/drawing/2014/main" id="{9AAEBEFE-57CA-40C1-0B8B-13898EB2BEA5}"/>
                  </a:ext>
                </a:extLst>
              </xdr:cNvPr>
              <xdr:cNvSpPr/>
            </xdr:nvSpPr>
            <xdr:spPr>
              <a:xfrm>
                <a:off x="1034820" y="4586702"/>
                <a:ext cx="8190821" cy="3155762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50800" dir="2520000" algn="ctr" rotWithShape="0">
                  <a:schemeClr val="bg1">
                    <a:lumMod val="50000"/>
                  </a:schemeClr>
                </a:outerShdw>
                <a:softEdge rad="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26" name="Gráfico 25">
                <a:extLst>
                  <a:ext uri="{FF2B5EF4-FFF2-40B4-BE49-F238E27FC236}">
                    <a16:creationId xmlns:a16="http://schemas.microsoft.com/office/drawing/2014/main" id="{3D825541-168E-49CC-85B7-3A840465689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449162" y="5857876"/>
              <a:ext cx="3245302" cy="172810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32" name="Retângulo 31">
                <a:extLst>
                  <a:ext uri="{FF2B5EF4-FFF2-40B4-BE49-F238E27FC236}">
                    <a16:creationId xmlns:a16="http://schemas.microsoft.com/office/drawing/2014/main" id="{252F0150-D547-668D-FF82-7CA6A8BA2843}"/>
                  </a:ext>
                </a:extLst>
              </xdr:cNvPr>
              <xdr:cNvSpPr/>
            </xdr:nvSpPr>
            <xdr:spPr>
              <a:xfrm>
                <a:off x="1309006" y="4763659"/>
                <a:ext cx="1949905" cy="246489"/>
              </a:xfrm>
              <a:prstGeom prst="rect">
                <a:avLst/>
              </a:prstGeom>
              <a:noFill/>
            </xdr:spPr>
            <xdr:txBody>
              <a:bodyPr wrap="square" lIns="91440" tIns="45720" rIns="91440" bIns="45720" anchor="ctr">
                <a:noAutofit/>
              </a:bodyPr>
              <a:lstStyle/>
              <a:p>
                <a:pPr algn="l" eaLnBrk="1" fontAlgn="auto" latinLnBrk="0" hangingPunct="1"/>
                <a:r>
                  <a:rPr lang="pt-BR" sz="1600" b="1">
                    <a:solidFill>
                      <a:schemeClr val="accent6">
                        <a:lumMod val="50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Análise de Cupons </a:t>
                </a:r>
                <a:endParaRPr lang="pt-BR" sz="1600" b="1">
                  <a:solidFill>
                    <a:schemeClr val="accent6">
                      <a:lumMod val="50000"/>
                    </a:schemeClr>
                  </a:solidFill>
                  <a:effectLst/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3" name="Subscription Type 2">
                    <a:extLst>
                      <a:ext uri="{FF2B5EF4-FFF2-40B4-BE49-F238E27FC236}">
                        <a16:creationId xmlns:a16="http://schemas.microsoft.com/office/drawing/2014/main" id="{9EB712CB-3437-6D18-C509-F1496859FB03}"/>
                      </a:ext>
                    </a:extLst>
                  </xdr:cNvPr>
                  <xdr:cNvGraphicFramePr/>
                </xdr:nvGraphicFramePr>
                <xdr:xfrm>
                  <a:off x="1366968" y="5089071"/>
                  <a:ext cx="3395531" cy="641576"/>
                </xdr:xfrm>
                <a:graphic>
                  <a:graphicData uri="http://schemas.microsoft.com/office/drawing/2010/slicer">
                    <sle:slicer xmlns:sle="http://schemas.microsoft.com/office/drawing/2010/slicer" name="Subscription Type 2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482630" y="5238753"/>
                    <a:ext cx="3395531" cy="641576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EADAB517-FC2D-4CDD-90C8-FD5FB7CA2308}"/>
                </a:ext>
              </a:extLst>
            </xdr:cNvPr>
            <xdr:cNvGraphicFramePr>
              <a:graphicFrameLocks/>
            </xdr:cNvGraphicFramePr>
          </xdr:nvGraphicFramePr>
          <xdr:xfrm>
            <a:off x="5143500" y="5742214"/>
            <a:ext cx="3789590" cy="15376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cxnSp macro="">
          <xdr:nvCxnSpPr>
            <xdr:cNvPr id="36" name="Conector reto 35">
              <a:extLst>
                <a:ext uri="{FF2B5EF4-FFF2-40B4-BE49-F238E27FC236}">
                  <a16:creationId xmlns:a16="http://schemas.microsoft.com/office/drawing/2014/main" id="{86A3770E-CA2C-F1EB-06E2-417D1C4F2EBE}"/>
                </a:ext>
              </a:extLst>
            </xdr:cNvPr>
            <xdr:cNvCxnSpPr/>
          </xdr:nvCxnSpPr>
          <xdr:spPr>
            <a:xfrm>
              <a:off x="4973409" y="4769304"/>
              <a:ext cx="0" cy="259216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7" name="Subscription Type 3">
                  <a:extLst>
                    <a:ext uri="{FF2B5EF4-FFF2-40B4-BE49-F238E27FC236}">
                      <a16:creationId xmlns:a16="http://schemas.microsoft.com/office/drawing/2014/main" id="{FBE9B4B2-F9CA-662D-FA68-A6FBF85D50D0}"/>
                    </a:ext>
                  </a:extLst>
                </xdr:cNvPr>
                <xdr:cNvGraphicFramePr/>
              </xdr:nvGraphicFramePr>
              <xdr:xfrm>
                <a:off x="5050154" y="5109484"/>
                <a:ext cx="3740059" cy="605516"/>
              </xdr:xfrm>
              <a:graphic>
                <a:graphicData uri="http://schemas.microsoft.com/office/drawing/2010/slicer">
                  <sle:slicer xmlns:sle="http://schemas.microsoft.com/office/drawing/2010/slicer" name="Subscription Type 3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165816" y="5259166"/>
                  <a:ext cx="3740059" cy="60551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iane de Oliveira da Silva" refreshedDate="46048.759331944442" createdVersion="8" refreshedVersion="8" minRefreshableVersion="3" recordCount="296" xr:uid="{A5F76767-A5B6-4C69-8435-878CF8596355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 count="12">
        <n v="5"/>
        <n v="0"/>
        <n v="10"/>
        <n v="3"/>
        <n v="1"/>
        <n v="2"/>
        <n v="15"/>
        <n v="20"/>
        <n v="8"/>
        <n v="12"/>
        <n v="7"/>
        <m/>
      </sharedItems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968112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iane de Oliveira da Silva" refreshedDate="46048.784389699074" createdVersion="8" refreshedVersion="8" minRefreshableVersion="3" recordCount="295" xr:uid="{4A0C7665-6FC0-41CA-A44C-F687F1F34A2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622702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n v="30"/>
    <s v="Yes"/>
    <n v="20"/>
    <x v="0"/>
    <n v="60"/>
  </r>
  <r>
    <n v="3232"/>
    <s v="Maria Oliveira"/>
    <x v="1"/>
    <d v="2024-01-15T00:00:00"/>
    <x v="1"/>
    <n v="5"/>
    <x v="1"/>
    <s v="No"/>
    <s v="-"/>
    <s v="No"/>
    <n v="0"/>
    <x v="1"/>
    <n v="5"/>
  </r>
  <r>
    <n v="3233"/>
    <s v="Lucas Fernandes"/>
    <x v="2"/>
    <d v="2024-02-10T00:00:00"/>
    <x v="0"/>
    <n v="10"/>
    <x v="2"/>
    <s v="No"/>
    <s v="-"/>
    <s v="Yes"/>
    <n v="20"/>
    <x v="2"/>
    <n v="20"/>
  </r>
  <r>
    <n v="3234"/>
    <s v="Ana Souza"/>
    <x v="0"/>
    <d v="2024-02-20T00:00:00"/>
    <x v="1"/>
    <n v="15"/>
    <x v="0"/>
    <s v="Yes"/>
    <n v="30"/>
    <s v="Yes"/>
    <n v="20"/>
    <x v="3"/>
    <n v="62"/>
  </r>
  <r>
    <n v="3235"/>
    <s v="Pedro Gonçalves"/>
    <x v="1"/>
    <d v="2024-03-05T00:00:00"/>
    <x v="0"/>
    <n v="5"/>
    <x v="0"/>
    <s v="No"/>
    <s v="-"/>
    <s v="No"/>
    <n v="0"/>
    <x v="4"/>
    <n v="4"/>
  </r>
  <r>
    <n v="3236"/>
    <s v="Felipe Costa"/>
    <x v="2"/>
    <d v="2024-03-02T00:00:00"/>
    <x v="1"/>
    <n v="10"/>
    <x v="0"/>
    <s v="No"/>
    <s v="-"/>
    <s v="Yes"/>
    <n v="20"/>
    <x v="5"/>
    <n v="28"/>
  </r>
  <r>
    <n v="3237"/>
    <s v="Camila Ribeiro"/>
    <x v="0"/>
    <d v="2024-03-03T00:00:00"/>
    <x v="0"/>
    <n v="15"/>
    <x v="2"/>
    <s v="Yes"/>
    <n v="30"/>
    <s v="Yes"/>
    <n v="20"/>
    <x v="2"/>
    <n v="55"/>
  </r>
  <r>
    <n v="3238"/>
    <s v="André Mendes"/>
    <x v="1"/>
    <d v="2024-03-04T00:00:00"/>
    <x v="0"/>
    <n v="5"/>
    <x v="1"/>
    <s v="No"/>
    <s v="-"/>
    <s v="No"/>
    <n v="0"/>
    <x v="1"/>
    <n v="5"/>
  </r>
  <r>
    <n v="3239"/>
    <s v="Sofia Almeida"/>
    <x v="0"/>
    <d v="2024-03-05T00:00:00"/>
    <x v="1"/>
    <n v="15"/>
    <x v="0"/>
    <s v="Yes"/>
    <n v="30"/>
    <s v="Yes"/>
    <n v="20"/>
    <x v="0"/>
    <n v="60"/>
  </r>
  <r>
    <n v="3240"/>
    <s v="Bruno Martins"/>
    <x v="2"/>
    <d v="2024-03-06T00:00:00"/>
    <x v="0"/>
    <n v="10"/>
    <x v="2"/>
    <s v="No"/>
    <s v="-"/>
    <s v="Yes"/>
    <n v="20"/>
    <x v="6"/>
    <n v="15"/>
  </r>
  <r>
    <n v="3241"/>
    <s v="Rita Castro"/>
    <x v="1"/>
    <d v="2024-03-07T00:00:00"/>
    <x v="1"/>
    <n v="5"/>
    <x v="0"/>
    <s v="No"/>
    <s v="-"/>
    <s v="No"/>
    <n v="0"/>
    <x v="4"/>
    <n v="4"/>
  </r>
  <r>
    <n v="3242"/>
    <s v="Marco Túlio"/>
    <x v="0"/>
    <d v="2024-03-08T00:00:00"/>
    <x v="0"/>
    <n v="15"/>
    <x v="1"/>
    <s v="Yes"/>
    <n v="30"/>
    <s v="Yes"/>
    <n v="20"/>
    <x v="7"/>
    <n v="45"/>
  </r>
  <r>
    <n v="3243"/>
    <s v="Lívia Silveira"/>
    <x v="2"/>
    <d v="2024-03-09T00:00:00"/>
    <x v="1"/>
    <n v="10"/>
    <x v="0"/>
    <s v="No"/>
    <s v="-"/>
    <s v="Yes"/>
    <n v="20"/>
    <x v="2"/>
    <n v="20"/>
  </r>
  <r>
    <n v="3244"/>
    <s v="Diogo Sousa"/>
    <x v="1"/>
    <d v="2024-03-10T00:00:00"/>
    <x v="0"/>
    <n v="5"/>
    <x v="2"/>
    <s v="No"/>
    <s v="-"/>
    <s v="No"/>
    <n v="0"/>
    <x v="1"/>
    <n v="5"/>
  </r>
  <r>
    <n v="3245"/>
    <s v="Fernanda Lima"/>
    <x v="0"/>
    <d v="2024-03-11T00:00:00"/>
    <x v="1"/>
    <n v="15"/>
    <x v="0"/>
    <s v="Yes"/>
    <n v="30"/>
    <s v="Yes"/>
    <n v="20"/>
    <x v="8"/>
    <n v="57"/>
  </r>
  <r>
    <n v="3246"/>
    <s v="Caio Pereira"/>
    <x v="2"/>
    <d v="2024-03-12T00:00:00"/>
    <x v="0"/>
    <n v="10"/>
    <x v="1"/>
    <s v="No"/>
    <s v="-"/>
    <s v="Yes"/>
    <n v="20"/>
    <x v="9"/>
    <n v="18"/>
  </r>
  <r>
    <n v="3247"/>
    <s v="Beatriz Gomes"/>
    <x v="1"/>
    <d v="2024-03-13T00:00:00"/>
    <x v="1"/>
    <n v="5"/>
    <x v="0"/>
    <s v="No"/>
    <s v="-"/>
    <s v="No"/>
    <n v="0"/>
    <x v="5"/>
    <n v="3"/>
  </r>
  <r>
    <n v="3248"/>
    <s v="Cesar Oliveira"/>
    <x v="0"/>
    <d v="2024-03-14T00:00:00"/>
    <x v="0"/>
    <n v="15"/>
    <x v="2"/>
    <s v="Yes"/>
    <n v="30"/>
    <s v="Yes"/>
    <n v="20"/>
    <x v="10"/>
    <n v="58"/>
  </r>
  <r>
    <n v="3249"/>
    <s v="Débora Machado"/>
    <x v="2"/>
    <d v="2024-03-15T00:00:00"/>
    <x v="1"/>
    <n v="10"/>
    <x v="0"/>
    <s v="No"/>
    <s v="-"/>
    <s v="Yes"/>
    <n v="20"/>
    <x v="0"/>
    <n v="25"/>
  </r>
  <r>
    <n v="3250"/>
    <s v="Eduardo Vargas"/>
    <x v="1"/>
    <d v="2024-03-16T00:00:00"/>
    <x v="0"/>
    <n v="5"/>
    <x v="1"/>
    <s v="No"/>
    <s v="-"/>
    <s v="No"/>
    <n v="0"/>
    <x v="1"/>
    <n v="5"/>
  </r>
  <r>
    <n v="3251"/>
    <s v="Gabriela Santos"/>
    <x v="0"/>
    <d v="2024-03-17T00:00:00"/>
    <x v="1"/>
    <n v="15"/>
    <x v="0"/>
    <s v="Yes"/>
    <n v="30"/>
    <s v="Yes"/>
    <n v="20"/>
    <x v="3"/>
    <n v="62"/>
  </r>
  <r>
    <n v="3252"/>
    <s v="Henrique Dias"/>
    <x v="2"/>
    <d v="2024-03-18T00:00:00"/>
    <x v="0"/>
    <n v="10"/>
    <x v="2"/>
    <s v="No"/>
    <s v="-"/>
    <s v="Yes"/>
    <n v="20"/>
    <x v="6"/>
    <n v="15"/>
  </r>
  <r>
    <n v="3253"/>
    <s v="Isabela Moreira"/>
    <x v="1"/>
    <d v="2024-03-19T00:00:00"/>
    <x v="1"/>
    <n v="5"/>
    <x v="0"/>
    <s v="No"/>
    <s v="-"/>
    <s v="No"/>
    <n v="0"/>
    <x v="4"/>
    <n v="4"/>
  </r>
  <r>
    <n v="3254"/>
    <s v="Joaquim Barbosa"/>
    <x v="0"/>
    <d v="2024-03-20T00:00:00"/>
    <x v="0"/>
    <n v="15"/>
    <x v="1"/>
    <s v="Yes"/>
    <n v="30"/>
    <s v="Yes"/>
    <n v="20"/>
    <x v="7"/>
    <n v="45"/>
  </r>
  <r>
    <n v="3255"/>
    <s v="Lara Rocha"/>
    <x v="2"/>
    <d v="2024-03-21T00:00:00"/>
    <x v="1"/>
    <n v="10"/>
    <x v="0"/>
    <s v="No"/>
    <s v="-"/>
    <s v="Yes"/>
    <n v="20"/>
    <x v="2"/>
    <n v="20"/>
  </r>
  <r>
    <n v="3256"/>
    <s v="Matheus Silva"/>
    <x v="1"/>
    <d v="2024-03-22T00:00:00"/>
    <x v="0"/>
    <n v="5"/>
    <x v="2"/>
    <s v="No"/>
    <s v="-"/>
    <s v="No"/>
    <n v="0"/>
    <x v="1"/>
    <n v="5"/>
  </r>
  <r>
    <n v="3257"/>
    <s v="Nicole Costa"/>
    <x v="0"/>
    <d v="2024-03-23T00:00:00"/>
    <x v="1"/>
    <n v="15"/>
    <x v="0"/>
    <s v="Yes"/>
    <n v="30"/>
    <s v="Yes"/>
    <n v="20"/>
    <x v="0"/>
    <n v="60"/>
  </r>
  <r>
    <n v="3258"/>
    <s v="Otávio Mendonça"/>
    <x v="2"/>
    <d v="2024-03-24T00:00:00"/>
    <x v="0"/>
    <n v="10"/>
    <x v="1"/>
    <s v="No"/>
    <s v="-"/>
    <s v="Yes"/>
    <n v="20"/>
    <x v="6"/>
    <n v="15"/>
  </r>
  <r>
    <n v="3259"/>
    <s v="Paula Ferreira"/>
    <x v="1"/>
    <d v="2024-03-25T00:00:00"/>
    <x v="1"/>
    <n v="5"/>
    <x v="0"/>
    <s v="No"/>
    <s v="-"/>
    <s v="No"/>
    <n v="0"/>
    <x v="4"/>
    <n v="4"/>
  </r>
  <r>
    <n v="3260"/>
    <s v="Raquel Alves"/>
    <x v="0"/>
    <d v="2024-03-26T00:00:00"/>
    <x v="0"/>
    <n v="15"/>
    <x v="2"/>
    <s v="Yes"/>
    <n v="30"/>
    <s v="Yes"/>
    <n v="20"/>
    <x v="10"/>
    <n v="58"/>
  </r>
  <r>
    <n v="3261"/>
    <s v="Samuel Pires"/>
    <x v="2"/>
    <d v="2024-03-27T00:00:00"/>
    <x v="1"/>
    <n v="10"/>
    <x v="0"/>
    <s v="No"/>
    <s v="-"/>
    <s v="Yes"/>
    <n v="20"/>
    <x v="2"/>
    <n v="20"/>
  </r>
  <r>
    <n v="3262"/>
    <s v="Tânia Barros"/>
    <x v="1"/>
    <d v="2024-03-28T00:00:00"/>
    <x v="0"/>
    <n v="5"/>
    <x v="1"/>
    <s v="No"/>
    <s v="-"/>
    <s v="No"/>
    <n v="0"/>
    <x v="1"/>
    <n v="5"/>
  </r>
  <r>
    <n v="3263"/>
    <s v="Vinicius Lima"/>
    <x v="0"/>
    <d v="2024-03-29T00:00:00"/>
    <x v="1"/>
    <n v="15"/>
    <x v="0"/>
    <s v="Yes"/>
    <n v="30"/>
    <s v="Yes"/>
    <n v="20"/>
    <x v="3"/>
    <n v="62"/>
  </r>
  <r>
    <n v="3264"/>
    <s v="Yasmin Teixeira"/>
    <x v="2"/>
    <d v="2024-03-30T00:00:00"/>
    <x v="0"/>
    <n v="10"/>
    <x v="2"/>
    <s v="No"/>
    <s v="-"/>
    <s v="Yes"/>
    <n v="20"/>
    <x v="6"/>
    <n v="15"/>
  </r>
  <r>
    <n v="3265"/>
    <s v="Zé Carlos"/>
    <x v="1"/>
    <d v="2024-03-31T00:00:00"/>
    <x v="1"/>
    <n v="5"/>
    <x v="0"/>
    <s v="No"/>
    <s v="-"/>
    <s v="No"/>
    <n v="0"/>
    <x v="4"/>
    <n v="4"/>
  </r>
  <r>
    <n v="3266"/>
    <s v="Amanda Nogueira"/>
    <x v="1"/>
    <d v="2024-04-01T00:00:00"/>
    <x v="0"/>
    <n v="5"/>
    <x v="0"/>
    <s v="No"/>
    <s v="-"/>
    <s v="No"/>
    <n v="0"/>
    <x v="1"/>
    <n v="5"/>
  </r>
  <r>
    <n v="3267"/>
    <s v="Bruno Cavalheiro"/>
    <x v="0"/>
    <d v="2024-04-02T00:00:00"/>
    <x v="1"/>
    <n v="15"/>
    <x v="2"/>
    <s v="Yes"/>
    <n v="30"/>
    <s v="Yes"/>
    <n v="20"/>
    <x v="10"/>
    <n v="58"/>
  </r>
  <r>
    <n v="3268"/>
    <s v="Carla Dias"/>
    <x v="2"/>
    <d v="2024-04-03T00:00:00"/>
    <x v="0"/>
    <n v="10"/>
    <x v="1"/>
    <s v="No"/>
    <s v="-"/>
    <s v="Yes"/>
    <n v="20"/>
    <x v="2"/>
    <n v="20"/>
  </r>
  <r>
    <n v="3269"/>
    <s v="Diego Fontes"/>
    <x v="1"/>
    <d v="2024-04-04T00:00:00"/>
    <x v="1"/>
    <n v="5"/>
    <x v="2"/>
    <s v="No"/>
    <s v="-"/>
    <s v="No"/>
    <n v="0"/>
    <x v="4"/>
    <n v="4"/>
  </r>
  <r>
    <n v="3270"/>
    <s v="Eunice Lima"/>
    <x v="0"/>
    <d v="2024-04-05T00:00:00"/>
    <x v="0"/>
    <n v="15"/>
    <x v="0"/>
    <s v="Yes"/>
    <n v="30"/>
    <s v="Yes"/>
    <n v="20"/>
    <x v="6"/>
    <n v="50"/>
  </r>
  <r>
    <n v="3271"/>
    <s v="Fábio Martins"/>
    <x v="2"/>
    <d v="2024-04-06T00:00:00"/>
    <x v="1"/>
    <n v="10"/>
    <x v="0"/>
    <s v="No"/>
    <s v="-"/>
    <s v="Yes"/>
    <n v="20"/>
    <x v="0"/>
    <n v="25"/>
  </r>
  <r>
    <n v="3272"/>
    <s v="Gisele Araújo"/>
    <x v="1"/>
    <d v="2024-04-07T00:00:00"/>
    <x v="0"/>
    <n v="5"/>
    <x v="1"/>
    <s v="No"/>
    <s v="-"/>
    <s v="No"/>
    <n v="0"/>
    <x v="1"/>
    <n v="5"/>
  </r>
  <r>
    <n v="3273"/>
    <s v="Hélio Castro"/>
    <x v="0"/>
    <d v="2024-04-08T00:00:00"/>
    <x v="1"/>
    <n v="15"/>
    <x v="2"/>
    <s v="Yes"/>
    <n v="30"/>
    <s v="Yes"/>
    <n v="20"/>
    <x v="7"/>
    <n v="45"/>
  </r>
  <r>
    <n v="3274"/>
    <s v="Ingrid Menezes"/>
    <x v="2"/>
    <d v="2024-04-09T00:00:00"/>
    <x v="0"/>
    <n v="10"/>
    <x v="2"/>
    <s v="No"/>
    <s v="-"/>
    <s v="Yes"/>
    <n v="20"/>
    <x v="9"/>
    <n v="18"/>
  </r>
  <r>
    <n v="3275"/>
    <s v="Jorge Baptista"/>
    <x v="1"/>
    <d v="2024-04-10T00:00:00"/>
    <x v="1"/>
    <n v="5"/>
    <x v="0"/>
    <s v="No"/>
    <s v="-"/>
    <s v="No"/>
    <n v="0"/>
    <x v="5"/>
    <n v="3"/>
  </r>
  <r>
    <n v="3276"/>
    <s v="Kléber Oliveira"/>
    <x v="0"/>
    <d v="2024-04-11T00:00:00"/>
    <x v="0"/>
    <n v="15"/>
    <x v="1"/>
    <s v="Yes"/>
    <n v="30"/>
    <s v="Yes"/>
    <n v="20"/>
    <x v="0"/>
    <n v="60"/>
  </r>
  <r>
    <n v="3277"/>
    <s v="Luciana Freitas"/>
    <x v="2"/>
    <d v="2024-04-12T00:00:00"/>
    <x v="1"/>
    <n v="10"/>
    <x v="0"/>
    <s v="No"/>
    <s v="-"/>
    <s v="Yes"/>
    <n v="20"/>
    <x v="2"/>
    <n v="20"/>
  </r>
  <r>
    <n v="3278"/>
    <s v="Márcia Eller"/>
    <x v="1"/>
    <d v="2024-04-13T00:00:00"/>
    <x v="0"/>
    <n v="5"/>
    <x v="2"/>
    <s v="No"/>
    <s v="-"/>
    <s v="No"/>
    <n v="0"/>
    <x v="1"/>
    <n v="5"/>
  </r>
  <r>
    <n v="3279"/>
    <s v="Nilo Peçanha"/>
    <x v="0"/>
    <d v="2024-04-14T00:00:00"/>
    <x v="1"/>
    <n v="15"/>
    <x v="0"/>
    <s v="Yes"/>
    <n v="30"/>
    <s v="Yes"/>
    <n v="20"/>
    <x v="3"/>
    <n v="62"/>
  </r>
  <r>
    <n v="3280"/>
    <s v="Oscar Neves"/>
    <x v="2"/>
    <d v="2024-04-15T00:00:00"/>
    <x v="0"/>
    <n v="10"/>
    <x v="1"/>
    <s v="No"/>
    <s v="-"/>
    <s v="Yes"/>
    <n v="20"/>
    <x v="6"/>
    <n v="15"/>
  </r>
  <r>
    <n v="3281"/>
    <s v="Patrícia Soares"/>
    <x v="1"/>
    <d v="2024-04-16T00:00:00"/>
    <x v="1"/>
    <n v="5"/>
    <x v="0"/>
    <s v="No"/>
    <s v="-"/>
    <s v="No"/>
    <n v="0"/>
    <x v="4"/>
    <n v="4"/>
  </r>
  <r>
    <n v="3282"/>
    <s v="Quirino Gonçalves"/>
    <x v="0"/>
    <d v="2024-04-17T00:00:00"/>
    <x v="0"/>
    <n v="15"/>
    <x v="2"/>
    <s v="Yes"/>
    <n v="30"/>
    <s v="Yes"/>
    <n v="20"/>
    <x v="10"/>
    <n v="58"/>
  </r>
  <r>
    <n v="3283"/>
    <s v="Raul Machado"/>
    <x v="2"/>
    <d v="2024-04-18T00:00:00"/>
    <x v="1"/>
    <n v="10"/>
    <x v="0"/>
    <s v="No"/>
    <s v="-"/>
    <s v="Yes"/>
    <n v="20"/>
    <x v="2"/>
    <n v="20"/>
  </r>
  <r>
    <n v="3284"/>
    <s v="Sônia Lobo"/>
    <x v="1"/>
    <d v="2024-04-19T00:00:00"/>
    <x v="0"/>
    <n v="5"/>
    <x v="1"/>
    <s v="No"/>
    <s v="-"/>
    <s v="No"/>
    <n v="0"/>
    <x v="1"/>
    <n v="5"/>
  </r>
  <r>
    <n v="3285"/>
    <s v="Tiago Ramos"/>
    <x v="0"/>
    <d v="2024-04-20T00:00:00"/>
    <x v="1"/>
    <n v="15"/>
    <x v="0"/>
    <s v="Yes"/>
    <n v="30"/>
    <s v="Yes"/>
    <n v="20"/>
    <x v="7"/>
    <n v="45"/>
  </r>
  <r>
    <n v="3286"/>
    <s v="Ugo Pires"/>
    <x v="2"/>
    <d v="2024-04-21T00:00:00"/>
    <x v="0"/>
    <n v="10"/>
    <x v="2"/>
    <s v="No"/>
    <s v="-"/>
    <s v="Yes"/>
    <n v="20"/>
    <x v="6"/>
    <n v="15"/>
  </r>
  <r>
    <n v="3287"/>
    <s v="Valéria Nobre"/>
    <x v="1"/>
    <d v="2024-04-22T00:00:00"/>
    <x v="1"/>
    <n v="5"/>
    <x v="0"/>
    <s v="No"/>
    <s v="-"/>
    <s v="No"/>
    <n v="0"/>
    <x v="4"/>
    <n v="4"/>
  </r>
  <r>
    <n v="3288"/>
    <s v="William Siqueira"/>
    <x v="0"/>
    <d v="2024-04-23T00:00:00"/>
    <x v="0"/>
    <n v="15"/>
    <x v="1"/>
    <s v="Yes"/>
    <n v="30"/>
    <s v="Yes"/>
    <n v="20"/>
    <x v="3"/>
    <n v="62"/>
  </r>
  <r>
    <n v="3289"/>
    <s v="Xuxa Meneghel"/>
    <x v="2"/>
    <d v="2024-04-24T00:00:00"/>
    <x v="1"/>
    <n v="10"/>
    <x v="0"/>
    <s v="No"/>
    <s v="-"/>
    <s v="Yes"/>
    <n v="20"/>
    <x v="2"/>
    <n v="20"/>
  </r>
  <r>
    <n v="3290"/>
    <s v="Yara Figueiredo"/>
    <x v="1"/>
    <d v="2024-04-25T00:00:00"/>
    <x v="0"/>
    <n v="5"/>
    <x v="2"/>
    <s v="No"/>
    <s v="-"/>
    <s v="No"/>
    <n v="0"/>
    <x v="1"/>
    <n v="5"/>
  </r>
  <r>
    <n v="3291"/>
    <s v="Zacarias Alves"/>
    <x v="0"/>
    <d v="2024-04-26T00:00:00"/>
    <x v="1"/>
    <n v="15"/>
    <x v="0"/>
    <s v="Yes"/>
    <n v="30"/>
    <s v="Yes"/>
    <n v="20"/>
    <x v="0"/>
    <n v="60"/>
  </r>
  <r>
    <n v="3292"/>
    <s v="Amanda Bynes"/>
    <x v="2"/>
    <d v="2024-04-27T00:00:00"/>
    <x v="0"/>
    <n v="10"/>
    <x v="1"/>
    <s v="No"/>
    <s v="-"/>
    <s v="Yes"/>
    <n v="20"/>
    <x v="6"/>
    <n v="15"/>
  </r>
  <r>
    <n v="3293"/>
    <s v="Bruno Mars"/>
    <x v="1"/>
    <d v="2024-04-28T00:00:00"/>
    <x v="1"/>
    <n v="5"/>
    <x v="0"/>
    <s v="No"/>
    <s v="-"/>
    <s v="No"/>
    <n v="0"/>
    <x v="4"/>
    <n v="4"/>
  </r>
  <r>
    <n v="3294"/>
    <s v="Carla Bruni"/>
    <x v="0"/>
    <d v="2024-04-29T00:00:00"/>
    <x v="0"/>
    <n v="15"/>
    <x v="2"/>
    <s v="Yes"/>
    <n v="30"/>
    <s v="Yes"/>
    <n v="20"/>
    <x v="7"/>
    <n v="45"/>
  </r>
  <r>
    <n v="3295"/>
    <s v="Diego Maradona"/>
    <x v="2"/>
    <d v="2024-04-30T00:00:00"/>
    <x v="1"/>
    <n v="10"/>
    <x v="0"/>
    <s v="No"/>
    <s v="-"/>
    <s v="Yes"/>
    <n v="20"/>
    <x v="0"/>
    <n v="25"/>
  </r>
  <r>
    <n v="3296"/>
    <s v="Estela Marques"/>
    <x v="1"/>
    <d v="2024-05-01T00:00:00"/>
    <x v="1"/>
    <n v="5"/>
    <x v="0"/>
    <s v="No"/>
    <s v="-"/>
    <s v="No"/>
    <n v="0"/>
    <x v="1"/>
    <n v="5"/>
  </r>
  <r>
    <n v="3297"/>
    <s v="Fábio Nobre"/>
    <x v="0"/>
    <d v="2024-05-02T00:00:00"/>
    <x v="0"/>
    <n v="15"/>
    <x v="2"/>
    <s v="Yes"/>
    <n v="30"/>
    <s v="Yes"/>
    <n v="20"/>
    <x v="10"/>
    <n v="58"/>
  </r>
  <r>
    <n v="3298"/>
    <s v="Gabriel Oliveira"/>
    <x v="2"/>
    <d v="2024-05-03T00:00:00"/>
    <x v="1"/>
    <n v="10"/>
    <x v="1"/>
    <s v="No"/>
    <s v="-"/>
    <s v="Yes"/>
    <n v="20"/>
    <x v="2"/>
    <n v="20"/>
  </r>
  <r>
    <n v="3299"/>
    <s v="Helena Santos"/>
    <x v="1"/>
    <d v="2024-05-04T00:00:00"/>
    <x v="0"/>
    <n v="5"/>
    <x v="2"/>
    <s v="No"/>
    <s v="-"/>
    <s v="No"/>
    <n v="0"/>
    <x v="4"/>
    <n v="4"/>
  </r>
  <r>
    <n v="3300"/>
    <s v="Ivan Carvalho"/>
    <x v="0"/>
    <d v="2024-05-05T00:00:00"/>
    <x v="1"/>
    <n v="15"/>
    <x v="0"/>
    <s v="Yes"/>
    <n v="30"/>
    <s v="Yes"/>
    <n v="20"/>
    <x v="6"/>
    <n v="50"/>
  </r>
  <r>
    <n v="3301"/>
    <s v="Júlia Ferreira"/>
    <x v="2"/>
    <d v="2024-05-06T00:00:00"/>
    <x v="0"/>
    <n v="10"/>
    <x v="0"/>
    <s v="No"/>
    <s v="-"/>
    <s v="Yes"/>
    <n v="20"/>
    <x v="0"/>
    <n v="25"/>
  </r>
  <r>
    <n v="3302"/>
    <s v="Karla Alves"/>
    <x v="1"/>
    <d v="2024-05-07T00:00:00"/>
    <x v="1"/>
    <n v="5"/>
    <x v="1"/>
    <s v="No"/>
    <s v="-"/>
    <s v="No"/>
    <n v="0"/>
    <x v="1"/>
    <n v="5"/>
  </r>
  <r>
    <n v="3303"/>
    <s v="Lucas Mendes"/>
    <x v="0"/>
    <d v="2024-05-08T00:00:00"/>
    <x v="0"/>
    <n v="15"/>
    <x v="2"/>
    <s v="Yes"/>
    <n v="30"/>
    <s v="Yes"/>
    <n v="20"/>
    <x v="7"/>
    <n v="45"/>
  </r>
  <r>
    <n v="3304"/>
    <s v="Mônica Gomes"/>
    <x v="2"/>
    <d v="2024-05-09T00:00:00"/>
    <x v="1"/>
    <n v="10"/>
    <x v="2"/>
    <s v="No"/>
    <s v="-"/>
    <s v="Yes"/>
    <n v="20"/>
    <x v="9"/>
    <n v="18"/>
  </r>
  <r>
    <n v="3305"/>
    <s v="Norberto Queiroz"/>
    <x v="1"/>
    <d v="2024-05-10T00:00:00"/>
    <x v="0"/>
    <n v="5"/>
    <x v="0"/>
    <s v="No"/>
    <s v="-"/>
    <s v="No"/>
    <n v="0"/>
    <x v="5"/>
    <n v="3"/>
  </r>
  <r>
    <n v="3306"/>
    <s v="Otávio Barros"/>
    <x v="0"/>
    <d v="2024-05-11T00:00:00"/>
    <x v="1"/>
    <n v="15"/>
    <x v="1"/>
    <s v="Yes"/>
    <n v="30"/>
    <s v="Yes"/>
    <n v="20"/>
    <x v="0"/>
    <n v="60"/>
  </r>
  <r>
    <n v="3307"/>
    <s v="Paula Vieira"/>
    <x v="2"/>
    <d v="2024-05-12T00:00:00"/>
    <x v="0"/>
    <n v="10"/>
    <x v="0"/>
    <s v="No"/>
    <s v="-"/>
    <s v="Yes"/>
    <n v="20"/>
    <x v="2"/>
    <n v="20"/>
  </r>
  <r>
    <n v="3308"/>
    <s v="Quentin Ramos"/>
    <x v="1"/>
    <d v="2024-05-13T00:00:00"/>
    <x v="1"/>
    <n v="5"/>
    <x v="2"/>
    <s v="No"/>
    <s v="-"/>
    <s v="No"/>
    <n v="0"/>
    <x v="1"/>
    <n v="5"/>
  </r>
  <r>
    <n v="3309"/>
    <s v="Raquel Novaes"/>
    <x v="0"/>
    <d v="2024-05-14T00:00:00"/>
    <x v="0"/>
    <n v="15"/>
    <x v="0"/>
    <s v="Yes"/>
    <n v="30"/>
    <s v="Yes"/>
    <n v="20"/>
    <x v="3"/>
    <n v="62"/>
  </r>
  <r>
    <n v="3310"/>
    <s v="Samantha Lopes"/>
    <x v="2"/>
    <d v="2024-05-15T00:00:00"/>
    <x v="1"/>
    <n v="10"/>
    <x v="1"/>
    <s v="No"/>
    <s v="-"/>
    <s v="Yes"/>
    <n v="20"/>
    <x v="6"/>
    <n v="15"/>
  </r>
  <r>
    <n v="3311"/>
    <s v="Tiago Martins"/>
    <x v="1"/>
    <d v="2024-05-16T00:00:00"/>
    <x v="0"/>
    <n v="5"/>
    <x v="0"/>
    <s v="No"/>
    <s v="-"/>
    <s v="No"/>
    <n v="0"/>
    <x v="4"/>
    <n v="4"/>
  </r>
  <r>
    <n v="3312"/>
    <s v="Ulysses Guimarães"/>
    <x v="0"/>
    <d v="2024-05-17T00:00:00"/>
    <x v="1"/>
    <n v="15"/>
    <x v="2"/>
    <s v="Yes"/>
    <n v="30"/>
    <s v="Yes"/>
    <n v="20"/>
    <x v="10"/>
    <n v="58"/>
  </r>
  <r>
    <n v="3313"/>
    <s v="Vanessa Silva"/>
    <x v="2"/>
    <d v="2024-05-18T00:00:00"/>
    <x v="0"/>
    <n v="10"/>
    <x v="0"/>
    <s v="No"/>
    <s v="-"/>
    <s v="Yes"/>
    <n v="20"/>
    <x v="2"/>
    <n v="20"/>
  </r>
  <r>
    <n v="3314"/>
    <s v="William Carneiro"/>
    <x v="1"/>
    <d v="2024-05-19T00:00:00"/>
    <x v="1"/>
    <n v="5"/>
    <x v="1"/>
    <s v="No"/>
    <s v="-"/>
    <s v="No"/>
    <n v="0"/>
    <x v="1"/>
    <n v="5"/>
  </r>
  <r>
    <n v="3315"/>
    <s v="Ximena Rocha"/>
    <x v="0"/>
    <d v="2024-05-20T00:00:00"/>
    <x v="0"/>
    <n v="15"/>
    <x v="0"/>
    <s v="Yes"/>
    <n v="30"/>
    <s v="Yes"/>
    <n v="20"/>
    <x v="7"/>
    <n v="45"/>
  </r>
  <r>
    <n v="3316"/>
    <s v="Yasmin Figueiredo"/>
    <x v="2"/>
    <d v="2024-05-21T00:00:00"/>
    <x v="1"/>
    <n v="10"/>
    <x v="2"/>
    <s v="No"/>
    <s v="-"/>
    <s v="Yes"/>
    <n v="20"/>
    <x v="6"/>
    <n v="15"/>
  </r>
  <r>
    <n v="3317"/>
    <s v="Zara Cunha"/>
    <x v="1"/>
    <d v="2024-05-22T00:00:00"/>
    <x v="0"/>
    <n v="5"/>
    <x v="0"/>
    <s v="No"/>
    <s v="-"/>
    <s v="No"/>
    <n v="0"/>
    <x v="4"/>
    <n v="4"/>
  </r>
  <r>
    <n v="3318"/>
    <s v="Alan Teixeira"/>
    <x v="0"/>
    <d v="2024-05-23T00:00:00"/>
    <x v="1"/>
    <n v="15"/>
    <x v="1"/>
    <s v="Yes"/>
    <n v="30"/>
    <s v="Yes"/>
    <n v="20"/>
    <x v="3"/>
    <n v="62"/>
  </r>
  <r>
    <n v="3319"/>
    <s v="Bárbara Oliveira"/>
    <x v="2"/>
    <d v="2024-05-24T00:00:00"/>
    <x v="0"/>
    <n v="10"/>
    <x v="0"/>
    <s v="No"/>
    <s v="-"/>
    <s v="Yes"/>
    <n v="20"/>
    <x v="2"/>
    <n v="20"/>
  </r>
  <r>
    <n v="3320"/>
    <s v="Carlos Junqueira"/>
    <x v="1"/>
    <d v="2024-05-25T00:00:00"/>
    <x v="1"/>
    <n v="5"/>
    <x v="2"/>
    <s v="No"/>
    <s v="-"/>
    <s v="No"/>
    <n v="0"/>
    <x v="1"/>
    <n v="5"/>
  </r>
  <r>
    <n v="3321"/>
    <s v="Daniela Moura"/>
    <x v="0"/>
    <d v="2024-05-26T00:00:00"/>
    <x v="0"/>
    <n v="15"/>
    <x v="0"/>
    <s v="Yes"/>
    <n v="30"/>
    <s v="Yes"/>
    <n v="20"/>
    <x v="0"/>
    <n v="60"/>
  </r>
  <r>
    <n v="3322"/>
    <s v="Eduardo Lima"/>
    <x v="2"/>
    <d v="2024-05-27T00:00:00"/>
    <x v="1"/>
    <n v="10"/>
    <x v="1"/>
    <s v="No"/>
    <s v="-"/>
    <s v="Yes"/>
    <n v="20"/>
    <x v="6"/>
    <n v="15"/>
  </r>
  <r>
    <n v="3323"/>
    <s v="Fabiana Araújo"/>
    <x v="1"/>
    <d v="2024-05-28T00:00:00"/>
    <x v="0"/>
    <n v="5"/>
    <x v="0"/>
    <s v="No"/>
    <s v="-"/>
    <s v="No"/>
    <n v="0"/>
    <x v="4"/>
    <n v="4"/>
  </r>
  <r>
    <n v="3324"/>
    <s v="Geraldo Ribeiro"/>
    <x v="0"/>
    <d v="2024-05-29T00:00:00"/>
    <x v="1"/>
    <n v="15"/>
    <x v="2"/>
    <s v="Yes"/>
    <n v="30"/>
    <s v="Yes"/>
    <n v="20"/>
    <x v="7"/>
    <n v="45"/>
  </r>
  <r>
    <n v="3325"/>
    <s v="Héctor Vargas"/>
    <x v="2"/>
    <d v="2024-05-30T00:00:00"/>
    <x v="0"/>
    <n v="10"/>
    <x v="2"/>
    <s v="No"/>
    <s v="-"/>
    <s v="Yes"/>
    <n v="20"/>
    <x v="6"/>
    <n v="15"/>
  </r>
  <r>
    <n v="3326"/>
    <s v="Isabela Fonseca"/>
    <x v="1"/>
    <d v="2024-05-31T00:00:00"/>
    <x v="1"/>
    <n v="5"/>
    <x v="1"/>
    <s v="No"/>
    <s v="-"/>
    <s v="No"/>
    <n v="0"/>
    <x v="1"/>
    <n v="5"/>
  </r>
  <r>
    <n v="3327"/>
    <s v="João Pedro Almeida"/>
    <x v="0"/>
    <d v="2024-06-01T00:00:00"/>
    <x v="0"/>
    <n v="15"/>
    <x v="0"/>
    <s v="Yes"/>
    <n v="30"/>
    <s v="Yes"/>
    <n v="20"/>
    <x v="10"/>
    <n v="58"/>
  </r>
  <r>
    <n v="3328"/>
    <s v="Klara Costa"/>
    <x v="2"/>
    <d v="2024-06-02T00:00:00"/>
    <x v="1"/>
    <n v="10"/>
    <x v="1"/>
    <s v="No"/>
    <s v="-"/>
    <s v="Yes"/>
    <n v="20"/>
    <x v="2"/>
    <n v="20"/>
  </r>
  <r>
    <n v="3329"/>
    <s v="Luciana Mendes"/>
    <x v="1"/>
    <d v="2024-06-03T00:00:00"/>
    <x v="0"/>
    <n v="5"/>
    <x v="2"/>
    <s v="No"/>
    <s v="-"/>
    <s v="No"/>
    <n v="0"/>
    <x v="4"/>
    <n v="4"/>
  </r>
  <r>
    <n v="3330"/>
    <s v="Marcelo Gouveia"/>
    <x v="0"/>
    <d v="2024-06-04T00:00:00"/>
    <x v="1"/>
    <n v="15"/>
    <x v="0"/>
    <s v="Yes"/>
    <n v="30"/>
    <s v="Yes"/>
    <n v="20"/>
    <x v="6"/>
    <n v="50"/>
  </r>
  <r>
    <n v="3331"/>
    <s v="Nívea Borges"/>
    <x v="2"/>
    <d v="2024-06-05T00:00:00"/>
    <x v="0"/>
    <n v="10"/>
    <x v="0"/>
    <s v="No"/>
    <s v="-"/>
    <s v="Yes"/>
    <n v="20"/>
    <x v="0"/>
    <n v="25"/>
  </r>
  <r>
    <n v="3332"/>
    <s v="Oscar Nogueira"/>
    <x v="1"/>
    <d v="2024-06-06T00:00:00"/>
    <x v="1"/>
    <n v="5"/>
    <x v="1"/>
    <s v="No"/>
    <s v="-"/>
    <s v="No"/>
    <n v="0"/>
    <x v="1"/>
    <n v="5"/>
  </r>
  <r>
    <n v="3333"/>
    <s v="Patrícia Alves"/>
    <x v="0"/>
    <d v="2024-06-07T00:00:00"/>
    <x v="0"/>
    <n v="15"/>
    <x v="2"/>
    <s v="Yes"/>
    <n v="30"/>
    <s v="Yes"/>
    <n v="20"/>
    <x v="7"/>
    <n v="45"/>
  </r>
  <r>
    <n v="3334"/>
    <s v="Rafaela Silva"/>
    <x v="2"/>
    <d v="2024-06-08T00:00:00"/>
    <x v="1"/>
    <n v="10"/>
    <x v="2"/>
    <s v="No"/>
    <s v="-"/>
    <s v="Yes"/>
    <n v="20"/>
    <x v="9"/>
    <n v="18"/>
  </r>
  <r>
    <n v="3335"/>
    <s v="Samantha Moraes"/>
    <x v="1"/>
    <d v="2024-06-09T00:00:00"/>
    <x v="0"/>
    <n v="5"/>
    <x v="0"/>
    <s v="No"/>
    <s v="-"/>
    <s v="No"/>
    <n v="0"/>
    <x v="5"/>
    <n v="3"/>
  </r>
  <r>
    <n v="3336"/>
    <s v="Tatiana Rocha"/>
    <x v="1"/>
    <d v="2024-06-10T00:00:00"/>
    <x v="0"/>
    <n v="5"/>
    <x v="0"/>
    <s v="No"/>
    <s v="-"/>
    <s v="No"/>
    <n v="0"/>
    <x v="1"/>
    <n v="5"/>
  </r>
  <r>
    <n v="3337"/>
    <s v="Ulisses Tavares"/>
    <x v="0"/>
    <d v="2024-06-11T00:00:00"/>
    <x v="1"/>
    <n v="15"/>
    <x v="2"/>
    <s v="Yes"/>
    <n v="30"/>
    <s v="Yes"/>
    <n v="20"/>
    <x v="10"/>
    <n v="58"/>
  </r>
  <r>
    <n v="3338"/>
    <s v="Víctor Lemos"/>
    <x v="2"/>
    <d v="2024-06-12T00:00:00"/>
    <x v="0"/>
    <n v="10"/>
    <x v="1"/>
    <s v="No"/>
    <s v="-"/>
    <s v="Yes"/>
    <n v="20"/>
    <x v="2"/>
    <n v="20"/>
  </r>
  <r>
    <n v="3339"/>
    <s v="Wilma Barros"/>
    <x v="1"/>
    <d v="2024-06-13T00:00:00"/>
    <x v="1"/>
    <n v="5"/>
    <x v="2"/>
    <s v="No"/>
    <s v="-"/>
    <s v="No"/>
    <n v="0"/>
    <x v="4"/>
    <n v="4"/>
  </r>
  <r>
    <n v="3340"/>
    <s v="Xavier Nascimento"/>
    <x v="0"/>
    <d v="2024-06-14T00:00:00"/>
    <x v="0"/>
    <n v="15"/>
    <x v="0"/>
    <s v="Yes"/>
    <n v="30"/>
    <s v="Yes"/>
    <n v="20"/>
    <x v="6"/>
    <n v="50"/>
  </r>
  <r>
    <n v="3341"/>
    <s v="Yago Pereira"/>
    <x v="2"/>
    <d v="2024-06-15T00:00:00"/>
    <x v="1"/>
    <n v="10"/>
    <x v="0"/>
    <s v="No"/>
    <s v="-"/>
    <s v="Yes"/>
    <n v="20"/>
    <x v="0"/>
    <n v="25"/>
  </r>
  <r>
    <n v="3342"/>
    <s v="Zilda Ferreira"/>
    <x v="1"/>
    <d v="2024-06-16T00:00:00"/>
    <x v="0"/>
    <n v="5"/>
    <x v="1"/>
    <s v="No"/>
    <s v="-"/>
    <s v="No"/>
    <n v="0"/>
    <x v="1"/>
    <n v="5"/>
  </r>
  <r>
    <n v="3343"/>
    <s v="Amanda Lopes"/>
    <x v="0"/>
    <d v="2024-06-17T00:00:00"/>
    <x v="1"/>
    <n v="15"/>
    <x v="2"/>
    <s v="Yes"/>
    <n v="30"/>
    <s v="Yes"/>
    <n v="20"/>
    <x v="7"/>
    <n v="45"/>
  </r>
  <r>
    <n v="3344"/>
    <s v="Bruno Miranda"/>
    <x v="2"/>
    <d v="2024-06-18T00:00:00"/>
    <x v="0"/>
    <n v="10"/>
    <x v="2"/>
    <s v="No"/>
    <s v="-"/>
    <s v="Yes"/>
    <n v="20"/>
    <x v="9"/>
    <n v="18"/>
  </r>
  <r>
    <n v="3345"/>
    <s v="Célia Torres"/>
    <x v="1"/>
    <d v="2024-06-19T00:00:00"/>
    <x v="1"/>
    <n v="5"/>
    <x v="0"/>
    <s v="No"/>
    <s v="-"/>
    <s v="No"/>
    <n v="0"/>
    <x v="5"/>
    <n v="3"/>
  </r>
  <r>
    <n v="3346"/>
    <s v="Diogo Souza"/>
    <x v="0"/>
    <d v="2024-06-20T00:00:00"/>
    <x v="0"/>
    <n v="15"/>
    <x v="1"/>
    <s v="Yes"/>
    <n v="30"/>
    <s v="Yes"/>
    <n v="20"/>
    <x v="0"/>
    <n v="60"/>
  </r>
  <r>
    <n v="3347"/>
    <s v="Elisa Castro"/>
    <x v="2"/>
    <d v="2024-06-21T00:00:00"/>
    <x v="1"/>
    <n v="10"/>
    <x v="0"/>
    <s v="No"/>
    <s v="-"/>
    <s v="Yes"/>
    <n v="20"/>
    <x v="2"/>
    <n v="20"/>
  </r>
  <r>
    <n v="3348"/>
    <s v="Fátima Lima"/>
    <x v="1"/>
    <d v="2024-06-22T00:00:00"/>
    <x v="0"/>
    <n v="5"/>
    <x v="2"/>
    <s v="No"/>
    <s v="-"/>
    <s v="No"/>
    <n v="0"/>
    <x v="1"/>
    <n v="5"/>
  </r>
  <r>
    <n v="3349"/>
    <s v="Geraldo Ribeiro"/>
    <x v="0"/>
    <d v="2024-06-23T00:00:00"/>
    <x v="1"/>
    <n v="15"/>
    <x v="0"/>
    <s v="Yes"/>
    <n v="30"/>
    <s v="Yes"/>
    <n v="20"/>
    <x v="3"/>
    <n v="62"/>
  </r>
  <r>
    <n v="3350"/>
    <s v="Hélio Martins"/>
    <x v="2"/>
    <d v="2024-06-24T00:00:00"/>
    <x v="0"/>
    <n v="10"/>
    <x v="1"/>
    <s v="No"/>
    <s v="-"/>
    <s v="Yes"/>
    <n v="20"/>
    <x v="6"/>
    <n v="15"/>
  </r>
  <r>
    <n v="3351"/>
    <s v="Íris Santos"/>
    <x v="1"/>
    <d v="2024-06-25T00:00:00"/>
    <x v="1"/>
    <n v="5"/>
    <x v="0"/>
    <s v="No"/>
    <s v="-"/>
    <s v="No"/>
    <n v="0"/>
    <x v="4"/>
    <n v="4"/>
  </r>
  <r>
    <n v="3352"/>
    <s v="João Marcelo"/>
    <x v="0"/>
    <d v="2024-06-26T00:00:00"/>
    <x v="0"/>
    <n v="15"/>
    <x v="2"/>
    <s v="Yes"/>
    <n v="30"/>
    <s v="Yes"/>
    <n v="20"/>
    <x v="10"/>
    <n v="58"/>
  </r>
  <r>
    <n v="3353"/>
    <s v="Larissa Gomes"/>
    <x v="2"/>
    <d v="2024-06-27T00:00:00"/>
    <x v="1"/>
    <n v="10"/>
    <x v="0"/>
    <s v="No"/>
    <s v="-"/>
    <s v="Yes"/>
    <n v="20"/>
    <x v="2"/>
    <n v="20"/>
  </r>
  <r>
    <n v="3354"/>
    <s v="Márcio Silva"/>
    <x v="1"/>
    <d v="2024-06-28T00:00:00"/>
    <x v="0"/>
    <n v="5"/>
    <x v="1"/>
    <s v="No"/>
    <s v="-"/>
    <s v="No"/>
    <n v="0"/>
    <x v="1"/>
    <n v="5"/>
  </r>
  <r>
    <n v="3355"/>
    <s v="Nadia Costa"/>
    <x v="0"/>
    <d v="2024-06-29T00:00:00"/>
    <x v="1"/>
    <n v="15"/>
    <x v="0"/>
    <s v="Yes"/>
    <n v="30"/>
    <s v="Yes"/>
    <n v="20"/>
    <x v="7"/>
    <n v="45"/>
  </r>
  <r>
    <n v="3356"/>
    <s v="Oscar Almeida"/>
    <x v="2"/>
    <d v="2024-06-30T00:00:00"/>
    <x v="0"/>
    <n v="10"/>
    <x v="2"/>
    <s v="No"/>
    <s v="-"/>
    <s v="Yes"/>
    <n v="20"/>
    <x v="6"/>
    <n v="15"/>
  </r>
  <r>
    <n v="3357"/>
    <s v="Patricia Soares"/>
    <x v="1"/>
    <d v="2024-07-01T00:00:00"/>
    <x v="1"/>
    <n v="5"/>
    <x v="0"/>
    <s v="No"/>
    <s v="-"/>
    <s v="No"/>
    <n v="0"/>
    <x v="4"/>
    <n v="4"/>
  </r>
  <r>
    <n v="3358"/>
    <s v="Quênia Barros"/>
    <x v="0"/>
    <d v="2024-07-02T00:00:00"/>
    <x v="0"/>
    <n v="15"/>
    <x v="1"/>
    <s v="Yes"/>
    <n v="30"/>
    <s v="Yes"/>
    <n v="20"/>
    <x v="3"/>
    <n v="62"/>
  </r>
  <r>
    <n v="3359"/>
    <s v="Rafael Torres"/>
    <x v="2"/>
    <d v="2024-07-03T00:00:00"/>
    <x v="1"/>
    <n v="10"/>
    <x v="0"/>
    <s v="No"/>
    <s v="-"/>
    <s v="Yes"/>
    <n v="20"/>
    <x v="2"/>
    <n v="20"/>
  </r>
  <r>
    <n v="3360"/>
    <s v="Silvia Nascimento"/>
    <x v="1"/>
    <d v="2024-07-04T00:00:00"/>
    <x v="0"/>
    <n v="5"/>
    <x v="2"/>
    <s v="No"/>
    <s v="-"/>
    <s v="No"/>
    <n v="0"/>
    <x v="1"/>
    <n v="5"/>
  </r>
  <r>
    <n v="3361"/>
    <s v="Tiago Mendes"/>
    <x v="0"/>
    <d v="2024-07-05T00:00:00"/>
    <x v="1"/>
    <n v="15"/>
    <x v="0"/>
    <s v="Yes"/>
    <n v="30"/>
    <s v="Yes"/>
    <n v="20"/>
    <x v="6"/>
    <n v="50"/>
  </r>
  <r>
    <n v="3362"/>
    <s v="Ursula Silva"/>
    <x v="2"/>
    <d v="2024-07-06T00:00:00"/>
    <x v="0"/>
    <n v="10"/>
    <x v="1"/>
    <s v="No"/>
    <s v="-"/>
    <s v="Yes"/>
    <n v="20"/>
    <x v="6"/>
    <n v="15"/>
  </r>
  <r>
    <n v="3363"/>
    <s v="Vanessa Moraes"/>
    <x v="1"/>
    <d v="2024-07-07T00:00:00"/>
    <x v="1"/>
    <n v="5"/>
    <x v="0"/>
    <s v="No"/>
    <s v="-"/>
    <s v="No"/>
    <n v="0"/>
    <x v="4"/>
    <n v="4"/>
  </r>
  <r>
    <n v="3364"/>
    <s v="Waldir Junior"/>
    <x v="0"/>
    <d v="2024-07-08T00:00:00"/>
    <x v="0"/>
    <n v="15"/>
    <x v="2"/>
    <s v="Yes"/>
    <n v="30"/>
    <s v="Yes"/>
    <n v="20"/>
    <x v="10"/>
    <n v="58"/>
  </r>
  <r>
    <n v="3365"/>
    <s v="Xavier Lopes"/>
    <x v="2"/>
    <d v="2024-07-09T00:00:00"/>
    <x v="1"/>
    <n v="10"/>
    <x v="0"/>
    <s v="No"/>
    <s v="-"/>
    <s v="Yes"/>
    <n v="20"/>
    <x v="2"/>
    <n v="20"/>
  </r>
  <r>
    <n v="3366"/>
    <s v="Yolanda Freitas"/>
    <x v="1"/>
    <d v="2024-07-10T00:00:00"/>
    <x v="0"/>
    <n v="5"/>
    <x v="0"/>
    <s v="No"/>
    <s v="-"/>
    <s v="No"/>
    <n v="0"/>
    <x v="1"/>
    <n v="5"/>
  </r>
  <r>
    <n v="3367"/>
    <s v="Zacarias Nunes"/>
    <x v="0"/>
    <d v="2024-07-11T00:00:00"/>
    <x v="1"/>
    <n v="15"/>
    <x v="2"/>
    <s v="Yes"/>
    <n v="30"/>
    <s v="Yes"/>
    <n v="20"/>
    <x v="10"/>
    <n v="58"/>
  </r>
  <r>
    <n v="3368"/>
    <s v="Ana Clara Barreto"/>
    <x v="2"/>
    <d v="2024-07-12T00:00:00"/>
    <x v="0"/>
    <n v="10"/>
    <x v="1"/>
    <s v="No"/>
    <s v="-"/>
    <s v="Yes"/>
    <n v="20"/>
    <x v="2"/>
    <n v="20"/>
  </r>
  <r>
    <n v="3369"/>
    <s v="Bruno Henrique"/>
    <x v="1"/>
    <d v="2024-07-13T00:00:00"/>
    <x v="1"/>
    <n v="5"/>
    <x v="2"/>
    <s v="No"/>
    <s v="-"/>
    <s v="No"/>
    <n v="0"/>
    <x v="4"/>
    <n v="4"/>
  </r>
  <r>
    <n v="3370"/>
    <s v="Carlos Eduardo"/>
    <x v="0"/>
    <d v="2024-07-14T00:00:00"/>
    <x v="0"/>
    <n v="15"/>
    <x v="0"/>
    <s v="Yes"/>
    <n v="30"/>
    <s v="Yes"/>
    <n v="20"/>
    <x v="6"/>
    <n v="50"/>
  </r>
  <r>
    <n v="3371"/>
    <s v="Débora Lima"/>
    <x v="2"/>
    <d v="2024-07-15T00:00:00"/>
    <x v="1"/>
    <n v="10"/>
    <x v="0"/>
    <s v="No"/>
    <s v="-"/>
    <s v="Yes"/>
    <n v="20"/>
    <x v="0"/>
    <n v="25"/>
  </r>
  <r>
    <n v="3372"/>
    <s v="Elisa Neves"/>
    <x v="1"/>
    <d v="2024-07-16T00:00:00"/>
    <x v="0"/>
    <n v="5"/>
    <x v="1"/>
    <s v="No"/>
    <s v="-"/>
    <s v="No"/>
    <n v="0"/>
    <x v="1"/>
    <n v="5"/>
  </r>
  <r>
    <n v="3373"/>
    <s v="Fabiano Gomes"/>
    <x v="0"/>
    <d v="2024-07-17T00:00:00"/>
    <x v="1"/>
    <n v="15"/>
    <x v="2"/>
    <s v="Yes"/>
    <n v="30"/>
    <s v="Yes"/>
    <n v="20"/>
    <x v="7"/>
    <n v="45"/>
  </r>
  <r>
    <n v="3374"/>
    <s v="Gisele Oliveira"/>
    <x v="2"/>
    <d v="2024-07-18T00:00:00"/>
    <x v="0"/>
    <n v="10"/>
    <x v="2"/>
    <s v="No"/>
    <s v="-"/>
    <s v="Yes"/>
    <n v="20"/>
    <x v="9"/>
    <n v="18"/>
  </r>
  <r>
    <n v="3375"/>
    <s v="Héctor Silva"/>
    <x v="1"/>
    <d v="2024-07-19T00:00:00"/>
    <x v="1"/>
    <n v="5"/>
    <x v="0"/>
    <s v="No"/>
    <s v="-"/>
    <s v="No"/>
    <n v="0"/>
    <x v="5"/>
    <n v="3"/>
  </r>
  <r>
    <n v="3376"/>
    <s v="Igor Martins"/>
    <x v="0"/>
    <d v="2024-07-20T00:00:00"/>
    <x v="0"/>
    <n v="15"/>
    <x v="1"/>
    <s v="Yes"/>
    <n v="30"/>
    <s v="Yes"/>
    <n v="20"/>
    <x v="0"/>
    <n v="60"/>
  </r>
  <r>
    <n v="3377"/>
    <s v="Joana Figueiredo"/>
    <x v="2"/>
    <d v="2024-07-21T00:00:00"/>
    <x v="1"/>
    <n v="10"/>
    <x v="0"/>
    <s v="No"/>
    <s v="-"/>
    <s v="Yes"/>
    <n v="20"/>
    <x v="2"/>
    <n v="20"/>
  </r>
  <r>
    <n v="3378"/>
    <s v="Kleber Machado"/>
    <x v="1"/>
    <d v="2024-07-22T00:00:00"/>
    <x v="0"/>
    <n v="5"/>
    <x v="2"/>
    <s v="No"/>
    <s v="-"/>
    <s v="No"/>
    <n v="0"/>
    <x v="1"/>
    <n v="5"/>
  </r>
  <r>
    <n v="3379"/>
    <s v="Luciana Santos"/>
    <x v="0"/>
    <d v="2024-07-23T00:00:00"/>
    <x v="1"/>
    <n v="15"/>
    <x v="0"/>
    <s v="Yes"/>
    <n v="30"/>
    <s v="Yes"/>
    <n v="20"/>
    <x v="3"/>
    <n v="62"/>
  </r>
  <r>
    <n v="3380"/>
    <s v="Marcos Teixeira"/>
    <x v="2"/>
    <d v="2024-07-24T00:00:00"/>
    <x v="0"/>
    <n v="10"/>
    <x v="1"/>
    <s v="No"/>
    <s v="-"/>
    <s v="Yes"/>
    <n v="20"/>
    <x v="6"/>
    <n v="15"/>
  </r>
  <r>
    <n v="3381"/>
    <s v="Natalia Costa"/>
    <x v="1"/>
    <d v="2024-07-25T00:00:00"/>
    <x v="1"/>
    <n v="5"/>
    <x v="0"/>
    <s v="No"/>
    <s v="-"/>
    <s v="No"/>
    <n v="0"/>
    <x v="4"/>
    <n v="4"/>
  </r>
  <r>
    <n v="3382"/>
    <s v="Oscar Ribeiro"/>
    <x v="0"/>
    <d v="2024-07-26T00:00:00"/>
    <x v="0"/>
    <n v="15"/>
    <x v="2"/>
    <s v="Yes"/>
    <n v="30"/>
    <s v="Yes"/>
    <n v="20"/>
    <x v="10"/>
    <n v="58"/>
  </r>
  <r>
    <n v="3383"/>
    <s v="Patricia Almeida"/>
    <x v="2"/>
    <d v="2024-07-27T00:00:00"/>
    <x v="1"/>
    <n v="10"/>
    <x v="0"/>
    <s v="No"/>
    <s v="-"/>
    <s v="Yes"/>
    <n v="20"/>
    <x v="2"/>
    <n v="20"/>
  </r>
  <r>
    <n v="3384"/>
    <s v="Quirino Junior"/>
    <x v="1"/>
    <d v="2024-07-28T00:00:00"/>
    <x v="0"/>
    <n v="5"/>
    <x v="1"/>
    <s v="No"/>
    <s v="-"/>
    <s v="No"/>
    <n v="0"/>
    <x v="1"/>
    <n v="5"/>
  </r>
  <r>
    <n v="3385"/>
    <s v="Renata Machado"/>
    <x v="0"/>
    <d v="2024-07-29T00:00:00"/>
    <x v="1"/>
    <n v="15"/>
    <x v="0"/>
    <s v="Yes"/>
    <n v="30"/>
    <s v="Yes"/>
    <n v="20"/>
    <x v="7"/>
    <n v="45"/>
  </r>
  <r>
    <n v="3386"/>
    <s v="Sônia Alves"/>
    <x v="2"/>
    <d v="2024-07-30T00:00:00"/>
    <x v="0"/>
    <n v="10"/>
    <x v="2"/>
    <s v="No"/>
    <s v="-"/>
    <s v="Yes"/>
    <n v="20"/>
    <x v="6"/>
    <n v="15"/>
  </r>
  <r>
    <n v="3387"/>
    <s v="Tiago Nunes"/>
    <x v="1"/>
    <d v="2024-07-31T00:00:00"/>
    <x v="1"/>
    <n v="5"/>
    <x v="0"/>
    <s v="No"/>
    <s v="-"/>
    <s v="No"/>
    <n v="0"/>
    <x v="4"/>
    <n v="4"/>
  </r>
  <r>
    <n v="3388"/>
    <s v="Ulysses Pereira"/>
    <x v="0"/>
    <d v="2024-08-01T00:00:00"/>
    <x v="0"/>
    <n v="15"/>
    <x v="1"/>
    <s v="Yes"/>
    <n v="30"/>
    <s v="Yes"/>
    <n v="20"/>
    <x v="3"/>
    <n v="62"/>
  </r>
  <r>
    <n v="3389"/>
    <s v="Vanessa Lima"/>
    <x v="2"/>
    <d v="2024-08-02T00:00:00"/>
    <x v="1"/>
    <n v="10"/>
    <x v="0"/>
    <s v="No"/>
    <s v="-"/>
    <s v="Yes"/>
    <n v="20"/>
    <x v="2"/>
    <n v="20"/>
  </r>
  <r>
    <n v="3390"/>
    <s v="Wagner Santos"/>
    <x v="1"/>
    <d v="2024-08-03T00:00:00"/>
    <x v="0"/>
    <n v="5"/>
    <x v="2"/>
    <s v="No"/>
    <s v="-"/>
    <s v="No"/>
    <n v="0"/>
    <x v="1"/>
    <n v="5"/>
  </r>
  <r>
    <n v="3391"/>
    <s v="Xuxa Meneghel"/>
    <x v="0"/>
    <d v="2024-08-04T00:00:00"/>
    <x v="1"/>
    <n v="15"/>
    <x v="0"/>
    <s v="Yes"/>
    <n v="30"/>
    <s v="Yes"/>
    <n v="20"/>
    <x v="6"/>
    <n v="50"/>
  </r>
  <r>
    <n v="3392"/>
    <s v="Yasmin Silva"/>
    <x v="2"/>
    <d v="2024-08-05T00:00:00"/>
    <x v="0"/>
    <n v="10"/>
    <x v="1"/>
    <s v="No"/>
    <s v="-"/>
    <s v="Yes"/>
    <n v="20"/>
    <x v="6"/>
    <n v="15"/>
  </r>
  <r>
    <n v="3393"/>
    <s v="Zacarias de Souza"/>
    <x v="1"/>
    <d v="2024-08-06T00:00:00"/>
    <x v="1"/>
    <n v="5"/>
    <x v="0"/>
    <s v="No"/>
    <s v="-"/>
    <s v="No"/>
    <n v="0"/>
    <x v="4"/>
    <n v="4"/>
  </r>
  <r>
    <n v="3394"/>
    <s v="André Lima"/>
    <x v="0"/>
    <d v="2024-08-07T00:00:00"/>
    <x v="0"/>
    <n v="15"/>
    <x v="2"/>
    <s v="Yes"/>
    <n v="30"/>
    <s v="Yes"/>
    <n v="20"/>
    <x v="10"/>
    <n v="58"/>
  </r>
  <r>
    <n v="3395"/>
    <s v="Bianca Freitas"/>
    <x v="2"/>
    <d v="2024-08-08T00:00:00"/>
    <x v="1"/>
    <n v="10"/>
    <x v="0"/>
    <s v="No"/>
    <s v="-"/>
    <s v="Yes"/>
    <n v="20"/>
    <x v="2"/>
    <n v="20"/>
  </r>
  <r>
    <n v="3396"/>
    <s v="Caio Mendes"/>
    <x v="1"/>
    <d v="2024-08-09T00:00:00"/>
    <x v="0"/>
    <n v="5"/>
    <x v="1"/>
    <s v="No"/>
    <s v="-"/>
    <s v="No"/>
    <n v="0"/>
    <x v="1"/>
    <n v="5"/>
  </r>
  <r>
    <n v="3397"/>
    <s v="Daniela Moura"/>
    <x v="0"/>
    <d v="2024-08-10T00:00:00"/>
    <x v="1"/>
    <n v="15"/>
    <x v="0"/>
    <s v="Yes"/>
    <n v="30"/>
    <s v="Yes"/>
    <n v="20"/>
    <x v="7"/>
    <n v="45"/>
  </r>
  <r>
    <n v="3398"/>
    <s v="Eduardo Costa"/>
    <x v="2"/>
    <d v="2024-08-11T00:00:00"/>
    <x v="0"/>
    <n v="10"/>
    <x v="2"/>
    <s v="No"/>
    <s v="-"/>
    <s v="Yes"/>
    <n v="20"/>
    <x v="6"/>
    <n v="15"/>
  </r>
  <r>
    <n v="3399"/>
    <s v="Fernanda Gomes"/>
    <x v="1"/>
    <d v="2024-08-12T00:00:00"/>
    <x v="1"/>
    <n v="5"/>
    <x v="0"/>
    <s v="No"/>
    <s v="-"/>
    <s v="No"/>
    <n v="0"/>
    <x v="4"/>
    <n v="4"/>
  </r>
  <r>
    <n v="3400"/>
    <s v="Guilherme Souza"/>
    <x v="0"/>
    <d v="2024-08-13T00:00:00"/>
    <x v="0"/>
    <n v="15"/>
    <x v="1"/>
    <s v="Yes"/>
    <n v="30"/>
    <s v="Yes"/>
    <n v="20"/>
    <x v="0"/>
    <n v="60"/>
  </r>
  <r>
    <n v="3401"/>
    <s v="Helena Ribeiro"/>
    <x v="2"/>
    <d v="2024-08-14T00:00:00"/>
    <x v="1"/>
    <n v="10"/>
    <x v="0"/>
    <s v="No"/>
    <s v="-"/>
    <s v="Yes"/>
    <n v="20"/>
    <x v="2"/>
    <n v="20"/>
  </r>
  <r>
    <n v="3402"/>
    <s v="Igor Santos"/>
    <x v="1"/>
    <d v="2024-08-15T00:00:00"/>
    <x v="0"/>
    <n v="5"/>
    <x v="2"/>
    <s v="No"/>
    <s v="-"/>
    <s v="No"/>
    <n v="0"/>
    <x v="1"/>
    <n v="5"/>
  </r>
  <r>
    <n v="3403"/>
    <s v="João Carvalho"/>
    <x v="0"/>
    <d v="2024-08-16T00:00:00"/>
    <x v="1"/>
    <n v="15"/>
    <x v="0"/>
    <s v="Yes"/>
    <n v="30"/>
    <s v="Yes"/>
    <n v="20"/>
    <x v="3"/>
    <n v="62"/>
  </r>
  <r>
    <n v="3404"/>
    <s v="Klara Fagundes"/>
    <x v="2"/>
    <d v="2024-08-17T00:00:00"/>
    <x v="0"/>
    <n v="10"/>
    <x v="1"/>
    <s v="No"/>
    <s v="-"/>
    <s v="Yes"/>
    <n v="20"/>
    <x v="6"/>
    <n v="15"/>
  </r>
  <r>
    <n v="3405"/>
    <s v="Lúcia Mendonça"/>
    <x v="1"/>
    <d v="2024-08-18T00:00:00"/>
    <x v="1"/>
    <n v="5"/>
    <x v="0"/>
    <s v="No"/>
    <s v="-"/>
    <s v="No"/>
    <n v="0"/>
    <x v="4"/>
    <n v="4"/>
  </r>
  <r>
    <n v="3406"/>
    <s v="Marcelo Novaes"/>
    <x v="1"/>
    <d v="2024-08-19T00:00:00"/>
    <x v="0"/>
    <n v="5"/>
    <x v="0"/>
    <s v="No"/>
    <s v="-"/>
    <s v="No"/>
    <n v="0"/>
    <x v="1"/>
    <n v="5"/>
  </r>
  <r>
    <n v="3407"/>
    <s v="Nina Pacheco"/>
    <x v="0"/>
    <d v="2024-08-20T00:00:00"/>
    <x v="1"/>
    <n v="15"/>
    <x v="2"/>
    <s v="Yes"/>
    <n v="30"/>
    <s v="Yes"/>
    <n v="20"/>
    <x v="10"/>
    <n v="58"/>
  </r>
  <r>
    <n v="3408"/>
    <s v="Olívia Rios"/>
    <x v="2"/>
    <d v="2024-08-21T00:00:00"/>
    <x v="0"/>
    <n v="10"/>
    <x v="1"/>
    <s v="No"/>
    <s v="-"/>
    <s v="Yes"/>
    <n v="20"/>
    <x v="2"/>
    <n v="20"/>
  </r>
  <r>
    <n v="3409"/>
    <s v="Paulo Quintana"/>
    <x v="1"/>
    <d v="2024-08-22T00:00:00"/>
    <x v="1"/>
    <n v="5"/>
    <x v="2"/>
    <s v="No"/>
    <s v="-"/>
    <s v="No"/>
    <n v="0"/>
    <x v="4"/>
    <n v="4"/>
  </r>
  <r>
    <n v="3410"/>
    <s v="Raquel Domingos"/>
    <x v="0"/>
    <d v="2024-08-23T00:00:00"/>
    <x v="0"/>
    <n v="15"/>
    <x v="0"/>
    <s v="Yes"/>
    <n v="30"/>
    <s v="Yes"/>
    <n v="20"/>
    <x v="6"/>
    <n v="50"/>
  </r>
  <r>
    <n v="3411"/>
    <s v="Samuel Viana"/>
    <x v="2"/>
    <d v="2024-08-24T00:00:00"/>
    <x v="1"/>
    <n v="10"/>
    <x v="0"/>
    <s v="No"/>
    <s v="-"/>
    <s v="Yes"/>
    <n v="20"/>
    <x v="0"/>
    <n v="25"/>
  </r>
  <r>
    <n v="3412"/>
    <s v="Tatiane Rocha"/>
    <x v="1"/>
    <d v="2024-08-25T00:00:00"/>
    <x v="0"/>
    <n v="5"/>
    <x v="1"/>
    <s v="No"/>
    <s v="-"/>
    <s v="No"/>
    <n v="0"/>
    <x v="1"/>
    <n v="5"/>
  </r>
  <r>
    <n v="3413"/>
    <s v="Ulysses Farias"/>
    <x v="0"/>
    <d v="2024-08-26T00:00:00"/>
    <x v="1"/>
    <n v="15"/>
    <x v="2"/>
    <s v="Yes"/>
    <n v="30"/>
    <s v="Yes"/>
    <n v="20"/>
    <x v="7"/>
    <n v="45"/>
  </r>
  <r>
    <n v="3414"/>
    <s v="Vanessa Moreira"/>
    <x v="2"/>
    <d v="2024-08-27T00:00:00"/>
    <x v="0"/>
    <n v="10"/>
    <x v="2"/>
    <s v="No"/>
    <s v="-"/>
    <s v="Yes"/>
    <n v="20"/>
    <x v="9"/>
    <n v="18"/>
  </r>
  <r>
    <n v="3415"/>
    <s v="William Carvalho"/>
    <x v="1"/>
    <d v="2024-08-28T00:00:00"/>
    <x v="1"/>
    <n v="5"/>
    <x v="0"/>
    <s v="No"/>
    <s v="-"/>
    <s v="No"/>
    <n v="0"/>
    <x v="5"/>
    <n v="3"/>
  </r>
  <r>
    <n v="3416"/>
    <s v="Ximena Barros"/>
    <x v="0"/>
    <d v="2024-08-29T00:00:00"/>
    <x v="0"/>
    <n v="15"/>
    <x v="1"/>
    <s v="Yes"/>
    <n v="30"/>
    <s v="Yes"/>
    <n v="20"/>
    <x v="0"/>
    <n v="60"/>
  </r>
  <r>
    <n v="3417"/>
    <s v="Yara Machado"/>
    <x v="2"/>
    <d v="2024-08-30T00:00:00"/>
    <x v="1"/>
    <n v="10"/>
    <x v="0"/>
    <s v="No"/>
    <s v="-"/>
    <s v="Yes"/>
    <n v="20"/>
    <x v="2"/>
    <n v="20"/>
  </r>
  <r>
    <n v="3418"/>
    <s v="Zacarias Costa"/>
    <x v="1"/>
    <d v="2024-08-31T00:00:00"/>
    <x v="0"/>
    <n v="5"/>
    <x v="2"/>
    <s v="No"/>
    <s v="-"/>
    <s v="No"/>
    <n v="0"/>
    <x v="1"/>
    <n v="5"/>
  </r>
  <r>
    <n v="3419"/>
    <s v="André Lopes"/>
    <x v="0"/>
    <d v="2024-09-01T00:00:00"/>
    <x v="1"/>
    <n v="15"/>
    <x v="0"/>
    <s v="Yes"/>
    <n v="30"/>
    <s v="Yes"/>
    <n v="20"/>
    <x v="3"/>
    <n v="62"/>
  </r>
  <r>
    <n v="3420"/>
    <s v="Beatriz Souza"/>
    <x v="2"/>
    <d v="2024-09-02T00:00:00"/>
    <x v="0"/>
    <n v="10"/>
    <x v="1"/>
    <s v="No"/>
    <s v="-"/>
    <s v="Yes"/>
    <n v="20"/>
    <x v="6"/>
    <n v="15"/>
  </r>
  <r>
    <n v="3421"/>
    <s v="Caio Pereira"/>
    <x v="1"/>
    <d v="2024-09-03T00:00:00"/>
    <x v="1"/>
    <n v="5"/>
    <x v="0"/>
    <s v="No"/>
    <s v="-"/>
    <s v="No"/>
    <n v="0"/>
    <x v="4"/>
    <n v="4"/>
  </r>
  <r>
    <n v="3422"/>
    <s v="Daniela Araújo"/>
    <x v="0"/>
    <d v="2024-09-04T00:00:00"/>
    <x v="0"/>
    <n v="15"/>
    <x v="2"/>
    <s v="Yes"/>
    <n v="30"/>
    <s v="Yes"/>
    <n v="20"/>
    <x v="10"/>
    <n v="58"/>
  </r>
  <r>
    <n v="3423"/>
    <s v="Eduardo Santos"/>
    <x v="2"/>
    <d v="2024-09-05T00:00:00"/>
    <x v="1"/>
    <n v="10"/>
    <x v="0"/>
    <s v="No"/>
    <s v="-"/>
    <s v="Yes"/>
    <n v="20"/>
    <x v="2"/>
    <n v="20"/>
  </r>
  <r>
    <n v="3424"/>
    <s v="Fernanda Lima"/>
    <x v="1"/>
    <d v="2024-09-06T00:00:00"/>
    <x v="0"/>
    <n v="5"/>
    <x v="1"/>
    <s v="No"/>
    <s v="-"/>
    <s v="No"/>
    <n v="0"/>
    <x v="1"/>
    <n v="5"/>
  </r>
  <r>
    <n v="3425"/>
    <s v="Gabriel Teixeira"/>
    <x v="0"/>
    <d v="2024-09-07T00:00:00"/>
    <x v="1"/>
    <n v="15"/>
    <x v="0"/>
    <s v="Yes"/>
    <n v="30"/>
    <s v="Yes"/>
    <n v="20"/>
    <x v="7"/>
    <n v="45"/>
  </r>
  <r>
    <n v="3426"/>
    <s v="Helena Ribeiro"/>
    <x v="2"/>
    <d v="2024-09-08T00:00:00"/>
    <x v="0"/>
    <n v="10"/>
    <x v="2"/>
    <s v="No"/>
    <s v="-"/>
    <s v="Yes"/>
    <n v="20"/>
    <x v="6"/>
    <n v="15"/>
  </r>
  <r>
    <n v="3427"/>
    <s v="Igor Mendes"/>
    <x v="1"/>
    <d v="2024-09-09T00:00:00"/>
    <x v="1"/>
    <n v="5"/>
    <x v="0"/>
    <s v="No"/>
    <s v="-"/>
    <s v="No"/>
    <n v="0"/>
    <x v="4"/>
    <n v="4"/>
  </r>
  <r>
    <n v="3428"/>
    <s v="Joana Silveira"/>
    <x v="0"/>
    <d v="2024-09-10T00:00:00"/>
    <x v="0"/>
    <n v="15"/>
    <x v="1"/>
    <s v="Yes"/>
    <n v="30"/>
    <s v="Yes"/>
    <n v="20"/>
    <x v="3"/>
    <n v="62"/>
  </r>
  <r>
    <n v="3429"/>
    <s v="Lucas Martins"/>
    <x v="2"/>
    <d v="2024-09-11T00:00:00"/>
    <x v="1"/>
    <n v="10"/>
    <x v="0"/>
    <s v="No"/>
    <s v="-"/>
    <s v="Yes"/>
    <n v="20"/>
    <x v="2"/>
    <n v="20"/>
  </r>
  <r>
    <n v="3430"/>
    <s v="Marcela Gouveia"/>
    <x v="1"/>
    <d v="2024-09-12T00:00:00"/>
    <x v="0"/>
    <n v="5"/>
    <x v="2"/>
    <s v="No"/>
    <s v="-"/>
    <s v="No"/>
    <n v="0"/>
    <x v="1"/>
    <n v="5"/>
  </r>
  <r>
    <n v="3431"/>
    <s v="Nicolas Borges"/>
    <x v="0"/>
    <d v="2024-09-13T00:00:00"/>
    <x v="1"/>
    <n v="15"/>
    <x v="0"/>
    <s v="Yes"/>
    <n v="30"/>
    <s v="Yes"/>
    <n v="20"/>
    <x v="6"/>
    <n v="50"/>
  </r>
  <r>
    <n v="3432"/>
    <s v="Olivia Freitas"/>
    <x v="2"/>
    <d v="2024-09-14T00:00:00"/>
    <x v="0"/>
    <n v="10"/>
    <x v="1"/>
    <s v="No"/>
    <s v="-"/>
    <s v="Yes"/>
    <n v="20"/>
    <x v="6"/>
    <n v="15"/>
  </r>
  <r>
    <n v="3433"/>
    <s v="Paulo Nogueira"/>
    <x v="1"/>
    <d v="2024-09-15T00:00:00"/>
    <x v="1"/>
    <n v="5"/>
    <x v="0"/>
    <s v="No"/>
    <s v="-"/>
    <s v="No"/>
    <n v="0"/>
    <x v="4"/>
    <n v="4"/>
  </r>
  <r>
    <n v="3434"/>
    <s v="Raquel Andrade"/>
    <x v="0"/>
    <d v="2024-09-16T00:00:00"/>
    <x v="0"/>
    <n v="15"/>
    <x v="2"/>
    <s v="Yes"/>
    <n v="30"/>
    <s v="Yes"/>
    <n v="20"/>
    <x v="10"/>
    <n v="58"/>
  </r>
  <r>
    <n v="3435"/>
    <s v="Sônia Carvalho"/>
    <x v="2"/>
    <d v="2024-09-17T00:00:00"/>
    <x v="1"/>
    <n v="10"/>
    <x v="0"/>
    <s v="No"/>
    <s v="-"/>
    <s v="Yes"/>
    <n v="20"/>
    <x v="2"/>
    <n v="20"/>
  </r>
  <r>
    <n v="3436"/>
    <s v="Tiago Rodrigues"/>
    <x v="1"/>
    <d v="2024-09-18T00:00:00"/>
    <x v="0"/>
    <n v="5"/>
    <x v="0"/>
    <s v="No"/>
    <s v="-"/>
    <s v="No"/>
    <n v="0"/>
    <x v="1"/>
    <n v="5"/>
  </r>
  <r>
    <n v="3437"/>
    <s v="Ursula Monteiro"/>
    <x v="0"/>
    <d v="2024-09-19T00:00:00"/>
    <x v="1"/>
    <n v="15"/>
    <x v="2"/>
    <s v="Yes"/>
    <n v="30"/>
    <s v="Yes"/>
    <n v="20"/>
    <x v="10"/>
    <n v="58"/>
  </r>
  <r>
    <n v="3438"/>
    <s v="Vanessa Pereira"/>
    <x v="2"/>
    <d v="2024-09-20T00:00:00"/>
    <x v="0"/>
    <n v="10"/>
    <x v="1"/>
    <s v="No"/>
    <s v="-"/>
    <s v="Yes"/>
    <n v="20"/>
    <x v="2"/>
    <n v="20"/>
  </r>
  <r>
    <n v="3439"/>
    <s v="Walter Silva"/>
    <x v="1"/>
    <d v="2024-09-21T00:00:00"/>
    <x v="1"/>
    <n v="5"/>
    <x v="2"/>
    <s v="No"/>
    <s v="-"/>
    <s v="No"/>
    <n v="0"/>
    <x v="4"/>
    <n v="4"/>
  </r>
  <r>
    <n v="3440"/>
    <s v="Xavier Almeida"/>
    <x v="0"/>
    <d v="2024-09-22T00:00:00"/>
    <x v="0"/>
    <n v="15"/>
    <x v="0"/>
    <s v="Yes"/>
    <n v="30"/>
    <s v="Yes"/>
    <n v="20"/>
    <x v="6"/>
    <n v="50"/>
  </r>
  <r>
    <n v="3441"/>
    <s v="Yasmine Correia"/>
    <x v="2"/>
    <d v="2024-09-23T00:00:00"/>
    <x v="1"/>
    <n v="10"/>
    <x v="0"/>
    <s v="No"/>
    <s v="-"/>
    <s v="Yes"/>
    <n v="20"/>
    <x v="0"/>
    <n v="25"/>
  </r>
  <r>
    <n v="3442"/>
    <s v="Zacarias Almeida"/>
    <x v="1"/>
    <d v="2024-09-24T00:00:00"/>
    <x v="0"/>
    <n v="5"/>
    <x v="1"/>
    <s v="No"/>
    <s v="-"/>
    <s v="No"/>
    <n v="0"/>
    <x v="1"/>
    <n v="5"/>
  </r>
  <r>
    <n v="3443"/>
    <s v="Amanda Costa"/>
    <x v="0"/>
    <d v="2024-09-25T00:00:00"/>
    <x v="1"/>
    <n v="15"/>
    <x v="2"/>
    <s v="Yes"/>
    <n v="30"/>
    <s v="Yes"/>
    <n v="20"/>
    <x v="7"/>
    <n v="45"/>
  </r>
  <r>
    <n v="3444"/>
    <s v="Bruno Ferreira"/>
    <x v="2"/>
    <d v="2024-09-26T00:00:00"/>
    <x v="0"/>
    <n v="10"/>
    <x v="2"/>
    <s v="No"/>
    <s v="-"/>
    <s v="Yes"/>
    <n v="20"/>
    <x v="9"/>
    <n v="18"/>
  </r>
  <r>
    <n v="3445"/>
    <s v="Carla Dias"/>
    <x v="1"/>
    <d v="2024-09-27T00:00:00"/>
    <x v="1"/>
    <n v="5"/>
    <x v="0"/>
    <s v="No"/>
    <s v="-"/>
    <s v="No"/>
    <n v="0"/>
    <x v="5"/>
    <n v="3"/>
  </r>
  <r>
    <n v="3446"/>
    <s v="Diogo Martins"/>
    <x v="0"/>
    <d v="2024-09-28T00:00:00"/>
    <x v="0"/>
    <n v="15"/>
    <x v="1"/>
    <s v="Yes"/>
    <n v="30"/>
    <s v="Yes"/>
    <n v="20"/>
    <x v="0"/>
    <n v="60"/>
  </r>
  <r>
    <n v="3447"/>
    <s v="Elisa Campos"/>
    <x v="2"/>
    <d v="2024-09-29T00:00:00"/>
    <x v="1"/>
    <n v="10"/>
    <x v="0"/>
    <s v="No"/>
    <s v="-"/>
    <s v="Yes"/>
    <n v="20"/>
    <x v="2"/>
    <n v="20"/>
  </r>
  <r>
    <n v="3448"/>
    <s v="Fabiana Lima"/>
    <x v="1"/>
    <d v="2024-09-30T00:00:00"/>
    <x v="0"/>
    <n v="5"/>
    <x v="2"/>
    <s v="No"/>
    <s v="-"/>
    <s v="No"/>
    <n v="0"/>
    <x v="1"/>
    <n v="5"/>
  </r>
  <r>
    <n v="3449"/>
    <s v="Gabriel Santos"/>
    <x v="0"/>
    <d v="2024-10-01T00:00:00"/>
    <x v="1"/>
    <n v="15"/>
    <x v="0"/>
    <s v="Yes"/>
    <n v="30"/>
    <s v="Yes"/>
    <n v="20"/>
    <x v="3"/>
    <n v="62"/>
  </r>
  <r>
    <n v="3450"/>
    <s v="Helena Ferreira"/>
    <x v="2"/>
    <d v="2024-10-02T00:00:00"/>
    <x v="0"/>
    <n v="10"/>
    <x v="1"/>
    <s v="No"/>
    <s v="-"/>
    <s v="Yes"/>
    <n v="20"/>
    <x v="6"/>
    <n v="15"/>
  </r>
  <r>
    <n v="3451"/>
    <s v="Ígor Nunes"/>
    <x v="1"/>
    <d v="2024-10-03T00:00:00"/>
    <x v="1"/>
    <n v="5"/>
    <x v="0"/>
    <s v="No"/>
    <s v="-"/>
    <s v="No"/>
    <n v="0"/>
    <x v="4"/>
    <n v="4"/>
  </r>
  <r>
    <n v="3452"/>
    <s v="Joana Silveira"/>
    <x v="0"/>
    <d v="2024-10-04T00:00:00"/>
    <x v="0"/>
    <n v="15"/>
    <x v="2"/>
    <s v="Yes"/>
    <n v="30"/>
    <s v="Yes"/>
    <n v="20"/>
    <x v="10"/>
    <n v="58"/>
  </r>
  <r>
    <n v="3453"/>
    <s v="Kléber Oliveira"/>
    <x v="2"/>
    <d v="2024-10-05T00:00:00"/>
    <x v="1"/>
    <n v="10"/>
    <x v="0"/>
    <s v="No"/>
    <s v="-"/>
    <s v="Yes"/>
    <n v="20"/>
    <x v="2"/>
    <n v="20"/>
  </r>
  <r>
    <n v="3454"/>
    <s v="Luciana Morais"/>
    <x v="1"/>
    <d v="2024-10-06T00:00:00"/>
    <x v="0"/>
    <n v="5"/>
    <x v="1"/>
    <s v="No"/>
    <s v="-"/>
    <s v="No"/>
    <n v="0"/>
    <x v="1"/>
    <n v="5"/>
  </r>
  <r>
    <n v="3455"/>
    <s v="Marcos Vinícius"/>
    <x v="0"/>
    <d v="2024-10-07T00:00:00"/>
    <x v="1"/>
    <n v="15"/>
    <x v="0"/>
    <s v="Yes"/>
    <n v="30"/>
    <s v="Yes"/>
    <n v="20"/>
    <x v="7"/>
    <n v="45"/>
  </r>
  <r>
    <n v="3456"/>
    <s v="Natália Barros"/>
    <x v="2"/>
    <d v="2024-10-08T00:00:00"/>
    <x v="0"/>
    <n v="10"/>
    <x v="2"/>
    <s v="No"/>
    <s v="-"/>
    <s v="Yes"/>
    <n v="20"/>
    <x v="6"/>
    <n v="15"/>
  </r>
  <r>
    <n v="3457"/>
    <s v="Oscar Sampaio"/>
    <x v="1"/>
    <d v="2024-10-09T00:00:00"/>
    <x v="1"/>
    <n v="5"/>
    <x v="0"/>
    <s v="No"/>
    <s v="-"/>
    <s v="No"/>
    <n v="0"/>
    <x v="4"/>
    <n v="4"/>
  </r>
  <r>
    <n v="3458"/>
    <s v="Patrícia Leite"/>
    <x v="0"/>
    <d v="2024-10-10T00:00:00"/>
    <x v="0"/>
    <n v="15"/>
    <x v="1"/>
    <s v="Yes"/>
    <n v="30"/>
    <s v="Yes"/>
    <n v="20"/>
    <x v="3"/>
    <n v="62"/>
  </r>
  <r>
    <n v="3459"/>
    <s v="Quênia Rocha"/>
    <x v="2"/>
    <d v="2024-10-11T00:00:00"/>
    <x v="1"/>
    <n v="10"/>
    <x v="0"/>
    <s v="No"/>
    <s v="-"/>
    <s v="Yes"/>
    <n v="20"/>
    <x v="2"/>
    <n v="20"/>
  </r>
  <r>
    <n v="3460"/>
    <s v="Rafael Torres"/>
    <x v="1"/>
    <d v="2024-10-12T00:00:00"/>
    <x v="0"/>
    <n v="5"/>
    <x v="2"/>
    <s v="No"/>
    <s v="-"/>
    <s v="No"/>
    <n v="0"/>
    <x v="1"/>
    <n v="5"/>
  </r>
  <r>
    <n v="3461"/>
    <s v="Sandra Gouveia"/>
    <x v="0"/>
    <d v="2024-10-13T00:00:00"/>
    <x v="1"/>
    <n v="15"/>
    <x v="0"/>
    <s v="Yes"/>
    <n v="30"/>
    <s v="Yes"/>
    <n v="20"/>
    <x v="6"/>
    <n v="50"/>
  </r>
  <r>
    <n v="3462"/>
    <s v="Tiago Lacerda"/>
    <x v="2"/>
    <d v="2024-10-14T00:00:00"/>
    <x v="0"/>
    <n v="10"/>
    <x v="1"/>
    <s v="No"/>
    <s v="-"/>
    <s v="Yes"/>
    <n v="20"/>
    <x v="6"/>
    <n v="15"/>
  </r>
  <r>
    <n v="3463"/>
    <s v="Ursula Fonseca"/>
    <x v="1"/>
    <d v="2024-10-15T00:00:00"/>
    <x v="1"/>
    <n v="5"/>
    <x v="0"/>
    <s v="No"/>
    <s v="-"/>
    <s v="No"/>
    <n v="0"/>
    <x v="4"/>
    <n v="4"/>
  </r>
  <r>
    <n v="3464"/>
    <s v="Vanessa Andrade"/>
    <x v="0"/>
    <d v="2024-10-16T00:00:00"/>
    <x v="0"/>
    <n v="15"/>
    <x v="2"/>
    <s v="Yes"/>
    <n v="30"/>
    <s v="Yes"/>
    <n v="20"/>
    <x v="10"/>
    <n v="58"/>
  </r>
  <r>
    <n v="3465"/>
    <s v="William Castro"/>
    <x v="2"/>
    <d v="2024-10-17T00:00:00"/>
    <x v="1"/>
    <n v="10"/>
    <x v="0"/>
    <s v="No"/>
    <s v="-"/>
    <s v="Yes"/>
    <n v="20"/>
    <x v="2"/>
    <n v="20"/>
  </r>
  <r>
    <n v="3466"/>
    <s v="Xavier Monteiro"/>
    <x v="1"/>
    <d v="2024-10-18T00:00:00"/>
    <x v="0"/>
    <n v="5"/>
    <x v="1"/>
    <s v="No"/>
    <s v="-"/>
    <s v="No"/>
    <n v="0"/>
    <x v="1"/>
    <n v="5"/>
  </r>
  <r>
    <n v="3467"/>
    <s v="Yasmin Figueira"/>
    <x v="0"/>
    <d v="2024-10-19T00:00:00"/>
    <x v="1"/>
    <n v="15"/>
    <x v="0"/>
    <s v="Yes"/>
    <n v="30"/>
    <s v="Yes"/>
    <n v="20"/>
    <x v="6"/>
    <n v="50"/>
  </r>
  <r>
    <n v="3468"/>
    <s v="Zacarias Mendonça"/>
    <x v="2"/>
    <d v="2024-10-20T00:00:00"/>
    <x v="0"/>
    <n v="10"/>
    <x v="2"/>
    <s v="No"/>
    <s v="-"/>
    <s v="Yes"/>
    <n v="20"/>
    <x v="9"/>
    <n v="18"/>
  </r>
  <r>
    <n v="3469"/>
    <s v="Amanda Menezes"/>
    <x v="1"/>
    <d v="2024-10-21T00:00:00"/>
    <x v="1"/>
    <n v="5"/>
    <x v="0"/>
    <s v="No"/>
    <s v="-"/>
    <s v="No"/>
    <n v="0"/>
    <x v="5"/>
    <n v="3"/>
  </r>
  <r>
    <n v="3470"/>
    <s v="Bruno Santos"/>
    <x v="0"/>
    <d v="2024-10-22T00:00:00"/>
    <x v="0"/>
    <n v="15"/>
    <x v="1"/>
    <s v="Yes"/>
    <n v="30"/>
    <s v="Yes"/>
    <n v="20"/>
    <x v="0"/>
    <n v="60"/>
  </r>
  <r>
    <n v="3471"/>
    <s v="Carla Ferreira"/>
    <x v="2"/>
    <d v="2024-10-23T00:00:00"/>
    <x v="1"/>
    <n v="10"/>
    <x v="0"/>
    <s v="No"/>
    <s v="-"/>
    <s v="Yes"/>
    <n v="20"/>
    <x v="2"/>
    <n v="20"/>
  </r>
  <r>
    <n v="3472"/>
    <s v="Diogo Alves"/>
    <x v="1"/>
    <d v="2024-10-24T00:00:00"/>
    <x v="0"/>
    <n v="5"/>
    <x v="2"/>
    <s v="No"/>
    <s v="-"/>
    <s v="No"/>
    <n v="0"/>
    <x v="1"/>
    <n v="5"/>
  </r>
  <r>
    <n v="3473"/>
    <s v="Elisa Neves"/>
    <x v="0"/>
    <d v="2024-10-25T00:00:00"/>
    <x v="1"/>
    <n v="15"/>
    <x v="0"/>
    <s v="Yes"/>
    <n v="30"/>
    <s v="Yes"/>
    <n v="20"/>
    <x v="3"/>
    <n v="62"/>
  </r>
  <r>
    <n v="3474"/>
    <s v="Fabiano Pires"/>
    <x v="2"/>
    <d v="2024-10-26T00:00:00"/>
    <x v="0"/>
    <n v="10"/>
    <x v="1"/>
    <s v="No"/>
    <s v="-"/>
    <s v="Yes"/>
    <n v="20"/>
    <x v="6"/>
    <n v="15"/>
  </r>
  <r>
    <n v="3475"/>
    <s v="Giovana Ribeiro"/>
    <x v="1"/>
    <d v="2024-10-27T00:00:00"/>
    <x v="1"/>
    <n v="5"/>
    <x v="0"/>
    <s v="No"/>
    <s v="-"/>
    <s v="No"/>
    <n v="0"/>
    <x v="4"/>
    <n v="4"/>
  </r>
  <r>
    <n v="3476"/>
    <s v="Hélio Costa"/>
    <x v="0"/>
    <d v="2024-10-28T00:00:00"/>
    <x v="0"/>
    <n v="15"/>
    <x v="2"/>
    <s v="Yes"/>
    <n v="30"/>
    <s v="Yes"/>
    <n v="20"/>
    <x v="10"/>
    <n v="58"/>
  </r>
  <r>
    <n v="3477"/>
    <s v="Íris Loureiro"/>
    <x v="2"/>
    <d v="2024-10-29T00:00:00"/>
    <x v="1"/>
    <n v="10"/>
    <x v="0"/>
    <s v="No"/>
    <s v="-"/>
    <s v="Yes"/>
    <n v="20"/>
    <x v="2"/>
    <n v="20"/>
  </r>
  <r>
    <n v="3478"/>
    <s v="João Pereira"/>
    <x v="1"/>
    <d v="2024-10-30T00:00:00"/>
    <x v="0"/>
    <n v="5"/>
    <x v="1"/>
    <s v="No"/>
    <s v="-"/>
    <s v="No"/>
    <n v="0"/>
    <x v="1"/>
    <n v="5"/>
  </r>
  <r>
    <n v="3479"/>
    <s v="Klara Silva"/>
    <x v="0"/>
    <d v="2024-10-31T00:00:00"/>
    <x v="1"/>
    <n v="15"/>
    <x v="0"/>
    <s v="Yes"/>
    <n v="30"/>
    <s v="Yes"/>
    <n v="20"/>
    <x v="7"/>
    <n v="45"/>
  </r>
  <r>
    <n v="3480"/>
    <s v="Luciana Barros"/>
    <x v="2"/>
    <d v="2024-11-01T00:00:00"/>
    <x v="0"/>
    <n v="10"/>
    <x v="2"/>
    <s v="No"/>
    <s v="-"/>
    <s v="Yes"/>
    <n v="20"/>
    <x v="6"/>
    <n v="15"/>
  </r>
  <r>
    <n v="3481"/>
    <s v="Marcos Gomes"/>
    <x v="1"/>
    <d v="2024-11-02T00:00:00"/>
    <x v="1"/>
    <n v="5"/>
    <x v="0"/>
    <s v="No"/>
    <s v="-"/>
    <s v="No"/>
    <n v="0"/>
    <x v="4"/>
    <n v="4"/>
  </r>
  <r>
    <n v="3482"/>
    <s v="Natália Soares"/>
    <x v="0"/>
    <d v="2024-11-03T00:00:00"/>
    <x v="0"/>
    <n v="15"/>
    <x v="1"/>
    <s v="Yes"/>
    <n v="30"/>
    <s v="Yes"/>
    <n v="20"/>
    <x v="3"/>
    <n v="62"/>
  </r>
  <r>
    <n v="3483"/>
    <s v="Oscar Machado"/>
    <x v="2"/>
    <d v="2024-11-04T00:00:00"/>
    <x v="1"/>
    <n v="10"/>
    <x v="0"/>
    <s v="No"/>
    <s v="-"/>
    <s v="Yes"/>
    <n v="20"/>
    <x v="2"/>
    <n v="20"/>
  </r>
  <r>
    <n v="3484"/>
    <s v="Patrícia Lima"/>
    <x v="1"/>
    <d v="2024-11-05T00:00:00"/>
    <x v="0"/>
    <n v="5"/>
    <x v="2"/>
    <s v="No"/>
    <s v="-"/>
    <s v="No"/>
    <n v="0"/>
    <x v="1"/>
    <n v="5"/>
  </r>
  <r>
    <n v="3485"/>
    <s v="Quirino Neto"/>
    <x v="0"/>
    <d v="2024-11-06T00:00:00"/>
    <x v="1"/>
    <n v="15"/>
    <x v="0"/>
    <s v="Yes"/>
    <n v="30"/>
    <s v="Yes"/>
    <n v="20"/>
    <x v="6"/>
    <n v="50"/>
  </r>
  <r>
    <n v="3486"/>
    <s v="Rafaela Souza"/>
    <x v="1"/>
    <d v="2024-11-07T00:00:00"/>
    <x v="0"/>
    <n v="5"/>
    <x v="0"/>
    <s v="No"/>
    <s v="-"/>
    <s v="No"/>
    <n v="0"/>
    <x v="1"/>
    <n v="5"/>
  </r>
  <r>
    <n v="3487"/>
    <s v="Sandro Almeida"/>
    <x v="0"/>
    <d v="2024-11-08T00:00:00"/>
    <x v="1"/>
    <n v="15"/>
    <x v="2"/>
    <s v="Yes"/>
    <n v="30"/>
    <s v="Yes"/>
    <n v="20"/>
    <x v="10"/>
    <n v="58"/>
  </r>
  <r>
    <n v="3488"/>
    <s v="Tânia Ribeiro"/>
    <x v="2"/>
    <d v="2024-11-09T00:00:00"/>
    <x v="0"/>
    <n v="10"/>
    <x v="1"/>
    <s v="No"/>
    <s v="-"/>
    <s v="Yes"/>
    <n v="20"/>
    <x v="2"/>
    <n v="20"/>
  </r>
  <r>
    <n v="3489"/>
    <s v="Ugo Dias"/>
    <x v="1"/>
    <d v="2024-11-10T00:00:00"/>
    <x v="1"/>
    <n v="5"/>
    <x v="2"/>
    <s v="No"/>
    <s v="-"/>
    <s v="No"/>
    <n v="0"/>
    <x v="4"/>
    <n v="4"/>
  </r>
  <r>
    <n v="3490"/>
    <s v="Valéria Lima"/>
    <x v="0"/>
    <d v="2024-11-11T00:00:00"/>
    <x v="0"/>
    <n v="15"/>
    <x v="0"/>
    <s v="Yes"/>
    <n v="30"/>
    <s v="Yes"/>
    <n v="20"/>
    <x v="6"/>
    <n v="50"/>
  </r>
  <r>
    <n v="3491"/>
    <s v="William Fernandes"/>
    <x v="2"/>
    <d v="2024-11-12T00:00:00"/>
    <x v="1"/>
    <n v="10"/>
    <x v="0"/>
    <s v="No"/>
    <s v="-"/>
    <s v="Yes"/>
    <n v="20"/>
    <x v="0"/>
    <n v="25"/>
  </r>
  <r>
    <n v="3492"/>
    <s v="Xuxa Mendes"/>
    <x v="1"/>
    <d v="2024-11-13T00:00:00"/>
    <x v="0"/>
    <n v="5"/>
    <x v="1"/>
    <s v="No"/>
    <s v="-"/>
    <s v="No"/>
    <n v="0"/>
    <x v="1"/>
    <n v="5"/>
  </r>
  <r>
    <n v="3493"/>
    <s v="Ygor Farias"/>
    <x v="0"/>
    <d v="2024-11-14T00:00:00"/>
    <x v="1"/>
    <n v="15"/>
    <x v="2"/>
    <s v="Yes"/>
    <n v="30"/>
    <s v="Yes"/>
    <n v="20"/>
    <x v="7"/>
    <n v="45"/>
  </r>
  <r>
    <n v="3494"/>
    <s v="Zilda Barros"/>
    <x v="2"/>
    <d v="2024-11-15T00:00:00"/>
    <x v="0"/>
    <n v="10"/>
    <x v="2"/>
    <s v="No"/>
    <s v="-"/>
    <s v="Yes"/>
    <n v="20"/>
    <x v="9"/>
    <n v="18"/>
  </r>
  <r>
    <n v="3495"/>
    <s v="Amanda Santos"/>
    <x v="1"/>
    <d v="2024-11-16T00:00:00"/>
    <x v="1"/>
    <n v="5"/>
    <x v="0"/>
    <s v="No"/>
    <s v="-"/>
    <s v="No"/>
    <n v="0"/>
    <x v="5"/>
    <n v="3"/>
  </r>
  <r>
    <n v="3496"/>
    <s v="Bruno Costa"/>
    <x v="0"/>
    <d v="2024-11-17T00:00:00"/>
    <x v="0"/>
    <n v="15"/>
    <x v="1"/>
    <s v="Yes"/>
    <n v="30"/>
    <s v="Yes"/>
    <n v="20"/>
    <x v="0"/>
    <n v="60"/>
  </r>
  <r>
    <n v="3497"/>
    <s v="Carla Rodrigues"/>
    <x v="2"/>
    <d v="2024-11-18T00:00:00"/>
    <x v="1"/>
    <n v="10"/>
    <x v="0"/>
    <s v="No"/>
    <s v="-"/>
    <s v="Yes"/>
    <n v="20"/>
    <x v="2"/>
    <n v="20"/>
  </r>
  <r>
    <n v="3498"/>
    <s v="Diogo Pereira"/>
    <x v="1"/>
    <d v="2024-11-19T00:00:00"/>
    <x v="0"/>
    <n v="5"/>
    <x v="2"/>
    <s v="No"/>
    <s v="-"/>
    <s v="No"/>
    <n v="0"/>
    <x v="1"/>
    <n v="5"/>
  </r>
  <r>
    <n v="3499"/>
    <s v="Elisa Correia"/>
    <x v="0"/>
    <d v="2024-11-20T00:00:00"/>
    <x v="1"/>
    <n v="15"/>
    <x v="0"/>
    <s v="Yes"/>
    <n v="30"/>
    <s v="Yes"/>
    <n v="20"/>
    <x v="3"/>
    <n v="62"/>
  </r>
  <r>
    <n v="3500"/>
    <s v="Fábio Lourenço"/>
    <x v="2"/>
    <d v="2024-11-21T00:00:00"/>
    <x v="0"/>
    <n v="10"/>
    <x v="1"/>
    <s v="No"/>
    <s v="-"/>
    <s v="Yes"/>
    <n v="20"/>
    <x v="6"/>
    <n v="15"/>
  </r>
  <r>
    <n v="3501"/>
    <s v="Gabriela Neves"/>
    <x v="1"/>
    <d v="2024-11-22T00:00:00"/>
    <x v="1"/>
    <n v="5"/>
    <x v="0"/>
    <s v="No"/>
    <s v="-"/>
    <s v="No"/>
    <n v="0"/>
    <x v="4"/>
    <n v="4"/>
  </r>
  <r>
    <n v="3502"/>
    <s v="Henrique Gonçalves"/>
    <x v="0"/>
    <d v="2024-11-23T00:00:00"/>
    <x v="0"/>
    <n v="15"/>
    <x v="2"/>
    <s v="Yes"/>
    <n v="30"/>
    <s v="Yes"/>
    <n v="20"/>
    <x v="10"/>
    <n v="58"/>
  </r>
  <r>
    <n v="3503"/>
    <s v="Íris Santos"/>
    <x v="2"/>
    <d v="2024-11-24T00:00:00"/>
    <x v="1"/>
    <n v="10"/>
    <x v="0"/>
    <s v="No"/>
    <s v="-"/>
    <s v="Yes"/>
    <n v="20"/>
    <x v="2"/>
    <n v="20"/>
  </r>
  <r>
    <n v="3504"/>
    <s v="João Marcelo Alves"/>
    <x v="1"/>
    <d v="2024-11-25T00:00:00"/>
    <x v="0"/>
    <n v="5"/>
    <x v="1"/>
    <s v="No"/>
    <s v="-"/>
    <s v="No"/>
    <n v="0"/>
    <x v="1"/>
    <n v="5"/>
  </r>
  <r>
    <n v="3505"/>
    <s v="Klara Fonseca"/>
    <x v="0"/>
    <d v="2024-11-26T00:00:00"/>
    <x v="1"/>
    <n v="15"/>
    <x v="0"/>
    <s v="Yes"/>
    <n v="30"/>
    <s v="Yes"/>
    <n v="20"/>
    <x v="7"/>
    <n v="45"/>
  </r>
  <r>
    <n v="3506"/>
    <s v="Lucas Mendonça"/>
    <x v="2"/>
    <d v="2024-11-27T00:00:00"/>
    <x v="0"/>
    <n v="10"/>
    <x v="2"/>
    <s v="No"/>
    <s v="-"/>
    <s v="Yes"/>
    <n v="20"/>
    <x v="6"/>
    <n v="15"/>
  </r>
  <r>
    <n v="3507"/>
    <s v="Marcela Torres"/>
    <x v="1"/>
    <d v="2024-11-28T00:00:00"/>
    <x v="1"/>
    <n v="5"/>
    <x v="0"/>
    <s v="No"/>
    <s v="-"/>
    <s v="No"/>
    <n v="0"/>
    <x v="4"/>
    <n v="4"/>
  </r>
  <r>
    <n v="3508"/>
    <s v="Natália Castro"/>
    <x v="0"/>
    <d v="2024-11-29T00:00:00"/>
    <x v="0"/>
    <n v="15"/>
    <x v="1"/>
    <s v="Yes"/>
    <n v="30"/>
    <s v="Yes"/>
    <n v="20"/>
    <x v="3"/>
    <n v="62"/>
  </r>
  <r>
    <n v="3509"/>
    <s v="Oscar Martins"/>
    <x v="2"/>
    <d v="2024-11-30T00:00:00"/>
    <x v="1"/>
    <n v="10"/>
    <x v="0"/>
    <s v="No"/>
    <s v="-"/>
    <s v="Yes"/>
    <n v="20"/>
    <x v="2"/>
    <n v="20"/>
  </r>
  <r>
    <n v="3510"/>
    <s v="Patrícia Oliveira"/>
    <x v="1"/>
    <d v="2024-12-01T00:00:00"/>
    <x v="0"/>
    <n v="5"/>
    <x v="2"/>
    <s v="No"/>
    <s v="-"/>
    <s v="No"/>
    <n v="0"/>
    <x v="1"/>
    <n v="5"/>
  </r>
  <r>
    <n v="3511"/>
    <s v="Quentin Nogueira"/>
    <x v="0"/>
    <d v="2024-12-02T00:00:00"/>
    <x v="1"/>
    <n v="15"/>
    <x v="0"/>
    <s v="Yes"/>
    <n v="30"/>
    <s v="Yes"/>
    <n v="20"/>
    <x v="6"/>
    <n v="50"/>
  </r>
  <r>
    <n v="3512"/>
    <s v="Raquel Silva"/>
    <x v="2"/>
    <d v="2024-12-03T00:00:00"/>
    <x v="0"/>
    <n v="10"/>
    <x v="1"/>
    <s v="No"/>
    <s v="-"/>
    <s v="Yes"/>
    <n v="20"/>
    <x v="6"/>
    <n v="15"/>
  </r>
  <r>
    <n v="3513"/>
    <s v="Sandro Gomes"/>
    <x v="1"/>
    <d v="2024-12-04T00:00:00"/>
    <x v="1"/>
    <n v="5"/>
    <x v="0"/>
    <s v="No"/>
    <s v="-"/>
    <s v="No"/>
    <n v="0"/>
    <x v="4"/>
    <n v="4"/>
  </r>
  <r>
    <n v="3514"/>
    <s v="Tânia Machado"/>
    <x v="0"/>
    <d v="2024-12-05T00:00:00"/>
    <x v="0"/>
    <n v="15"/>
    <x v="2"/>
    <s v="Yes"/>
    <n v="30"/>
    <s v="Yes"/>
    <n v="20"/>
    <x v="10"/>
    <n v="58"/>
  </r>
  <r>
    <n v="3515"/>
    <s v="Ursula Silva"/>
    <x v="2"/>
    <d v="2024-12-06T00:00:00"/>
    <x v="1"/>
    <n v="10"/>
    <x v="0"/>
    <s v="No"/>
    <s v="-"/>
    <s v="Yes"/>
    <n v="20"/>
    <x v="2"/>
    <n v="20"/>
  </r>
  <r>
    <n v="3516"/>
    <s v="Vanessa Moraes"/>
    <x v="1"/>
    <d v="2024-12-07T00:00:00"/>
    <x v="0"/>
    <n v="5"/>
    <x v="1"/>
    <s v="No"/>
    <s v="-"/>
    <s v="No"/>
    <n v="0"/>
    <x v="1"/>
    <n v="5"/>
  </r>
  <r>
    <n v="3517"/>
    <s v="William Carvalho"/>
    <x v="0"/>
    <d v="2024-12-08T00:00:00"/>
    <x v="1"/>
    <n v="15"/>
    <x v="0"/>
    <s v="Yes"/>
    <n v="30"/>
    <s v="Yes"/>
    <n v="20"/>
    <x v="7"/>
    <n v="45"/>
  </r>
  <r>
    <n v="3518"/>
    <s v="Xavier Reis"/>
    <x v="2"/>
    <d v="2024-12-09T00:00:00"/>
    <x v="0"/>
    <n v="10"/>
    <x v="2"/>
    <s v="No"/>
    <s v="-"/>
    <s v="Yes"/>
    <n v="20"/>
    <x v="9"/>
    <n v="18"/>
  </r>
  <r>
    <n v="3519"/>
    <s v="Yasmin Rocha"/>
    <x v="1"/>
    <d v="2024-12-10T00:00:00"/>
    <x v="1"/>
    <n v="5"/>
    <x v="0"/>
    <s v="No"/>
    <s v="-"/>
    <s v="No"/>
    <n v="0"/>
    <x v="5"/>
    <n v="3"/>
  </r>
  <r>
    <n v="3520"/>
    <s v="Zacarias Duarte"/>
    <x v="0"/>
    <d v="2024-12-11T00:00:00"/>
    <x v="0"/>
    <n v="15"/>
    <x v="1"/>
    <s v="Yes"/>
    <n v="30"/>
    <s v="Yes"/>
    <n v="20"/>
    <x v="0"/>
    <n v="60"/>
  </r>
  <r>
    <n v="3521"/>
    <s v="Amanda Freitas"/>
    <x v="2"/>
    <d v="2024-12-12T00:00:00"/>
    <x v="1"/>
    <n v="10"/>
    <x v="0"/>
    <s v="No"/>
    <s v="-"/>
    <s v="Yes"/>
    <n v="20"/>
    <x v="2"/>
    <n v="20"/>
  </r>
  <r>
    <n v="3522"/>
    <s v="Bruno Almeida"/>
    <x v="1"/>
    <d v="2024-12-13T00:00:00"/>
    <x v="0"/>
    <n v="5"/>
    <x v="2"/>
    <s v="No"/>
    <s v="-"/>
    <s v="No"/>
    <n v="0"/>
    <x v="1"/>
    <n v="5"/>
  </r>
  <r>
    <n v="3523"/>
    <s v="Carla Siqueira"/>
    <x v="0"/>
    <d v="2024-12-14T00:00:00"/>
    <x v="1"/>
    <n v="15"/>
    <x v="0"/>
    <s v="Yes"/>
    <n v="30"/>
    <s v="Yes"/>
    <n v="20"/>
    <x v="3"/>
    <n v="62"/>
  </r>
  <r>
    <n v="3524"/>
    <s v="Diogo Ramos"/>
    <x v="2"/>
    <d v="2024-12-15T00:00:00"/>
    <x v="0"/>
    <n v="10"/>
    <x v="1"/>
    <s v="No"/>
    <s v="-"/>
    <s v="Yes"/>
    <n v="20"/>
    <x v="6"/>
    <n v="15"/>
  </r>
  <r>
    <n v="3525"/>
    <s v="Elisa Magalhães"/>
    <x v="1"/>
    <d v="2024-12-16T00:00:00"/>
    <x v="1"/>
    <n v="5"/>
    <x v="0"/>
    <s v="No"/>
    <s v="-"/>
    <s v="No"/>
    <n v="0"/>
    <x v="4"/>
    <n v="4"/>
  </r>
  <r>
    <m/>
    <m/>
    <x v="3"/>
    <m/>
    <x v="2"/>
    <m/>
    <x v="3"/>
    <m/>
    <m/>
    <m/>
    <m/>
    <x v="1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x v="0"/>
    <n v="60"/>
  </r>
  <r>
    <n v="3232"/>
    <s v="Maria Oliveira"/>
    <x v="1"/>
    <x v="1"/>
    <s v="No"/>
    <n v="5"/>
    <x v="1"/>
    <s v="No"/>
    <s v="-"/>
    <s v="No"/>
    <n v="0"/>
    <x v="1"/>
    <n v="5"/>
  </r>
  <r>
    <n v="3233"/>
    <s v="Lucas Fernandes"/>
    <x v="2"/>
    <x v="2"/>
    <s v="Yes"/>
    <n v="10"/>
    <x v="2"/>
    <s v="No"/>
    <s v="-"/>
    <s v="Yes"/>
    <n v="20"/>
    <x v="2"/>
    <n v="20"/>
  </r>
  <r>
    <n v="3234"/>
    <s v="Ana Souza"/>
    <x v="0"/>
    <x v="3"/>
    <s v="No"/>
    <n v="15"/>
    <x v="0"/>
    <s v="Yes"/>
    <n v="30"/>
    <s v="Yes"/>
    <n v="20"/>
    <x v="3"/>
    <n v="62"/>
  </r>
  <r>
    <n v="3235"/>
    <s v="Pedro Gonçalves"/>
    <x v="1"/>
    <x v="4"/>
    <s v="Yes"/>
    <n v="5"/>
    <x v="0"/>
    <s v="No"/>
    <s v="-"/>
    <s v="No"/>
    <n v="0"/>
    <x v="4"/>
    <n v="4"/>
  </r>
  <r>
    <n v="3236"/>
    <s v="Felipe Costa"/>
    <x v="2"/>
    <x v="5"/>
    <s v="No"/>
    <n v="10"/>
    <x v="0"/>
    <s v="No"/>
    <s v="-"/>
    <s v="Yes"/>
    <n v="20"/>
    <x v="5"/>
    <n v="28"/>
  </r>
  <r>
    <n v="3237"/>
    <s v="Camila Ribeiro"/>
    <x v="0"/>
    <x v="6"/>
    <s v="Yes"/>
    <n v="15"/>
    <x v="2"/>
    <s v="Yes"/>
    <n v="30"/>
    <s v="Yes"/>
    <n v="20"/>
    <x v="2"/>
    <n v="55"/>
  </r>
  <r>
    <n v="3238"/>
    <s v="André Mendes"/>
    <x v="1"/>
    <x v="7"/>
    <s v="Yes"/>
    <n v="5"/>
    <x v="1"/>
    <s v="No"/>
    <s v="-"/>
    <s v="No"/>
    <n v="0"/>
    <x v="1"/>
    <n v="5"/>
  </r>
  <r>
    <n v="3239"/>
    <s v="Sofia Almeida"/>
    <x v="0"/>
    <x v="4"/>
    <s v="No"/>
    <n v="15"/>
    <x v="0"/>
    <s v="Yes"/>
    <n v="30"/>
    <s v="Yes"/>
    <n v="20"/>
    <x v="0"/>
    <n v="60"/>
  </r>
  <r>
    <n v="3240"/>
    <s v="Bruno Martins"/>
    <x v="2"/>
    <x v="8"/>
    <s v="Yes"/>
    <n v="10"/>
    <x v="2"/>
    <s v="No"/>
    <s v="-"/>
    <s v="Yes"/>
    <n v="20"/>
    <x v="6"/>
    <n v="15"/>
  </r>
  <r>
    <n v="3241"/>
    <s v="Rita Castro"/>
    <x v="1"/>
    <x v="9"/>
    <s v="No"/>
    <n v="5"/>
    <x v="0"/>
    <s v="No"/>
    <s v="-"/>
    <s v="No"/>
    <n v="0"/>
    <x v="4"/>
    <n v="4"/>
  </r>
  <r>
    <n v="3242"/>
    <s v="Marco Túlio"/>
    <x v="0"/>
    <x v="10"/>
    <s v="Yes"/>
    <n v="15"/>
    <x v="1"/>
    <s v="Yes"/>
    <n v="30"/>
    <s v="Yes"/>
    <n v="20"/>
    <x v="7"/>
    <n v="45"/>
  </r>
  <r>
    <n v="3243"/>
    <s v="Lívia Silveira"/>
    <x v="2"/>
    <x v="11"/>
    <s v="No"/>
    <n v="10"/>
    <x v="0"/>
    <s v="No"/>
    <s v="-"/>
    <s v="Yes"/>
    <n v="20"/>
    <x v="2"/>
    <n v="20"/>
  </r>
  <r>
    <n v="3244"/>
    <s v="Diogo Sousa"/>
    <x v="1"/>
    <x v="12"/>
    <s v="Yes"/>
    <n v="5"/>
    <x v="2"/>
    <s v="No"/>
    <s v="-"/>
    <s v="No"/>
    <n v="0"/>
    <x v="1"/>
    <n v="5"/>
  </r>
  <r>
    <n v="3245"/>
    <s v="Fernanda Lima"/>
    <x v="0"/>
    <x v="13"/>
    <s v="No"/>
    <n v="15"/>
    <x v="0"/>
    <s v="Yes"/>
    <n v="30"/>
    <s v="Yes"/>
    <n v="20"/>
    <x v="8"/>
    <n v="57"/>
  </r>
  <r>
    <n v="3246"/>
    <s v="Caio Pereira"/>
    <x v="2"/>
    <x v="14"/>
    <s v="Yes"/>
    <n v="10"/>
    <x v="1"/>
    <s v="No"/>
    <s v="-"/>
    <s v="Yes"/>
    <n v="20"/>
    <x v="9"/>
    <n v="18"/>
  </r>
  <r>
    <n v="3247"/>
    <s v="Beatriz Gomes"/>
    <x v="1"/>
    <x v="15"/>
    <s v="No"/>
    <n v="5"/>
    <x v="0"/>
    <s v="No"/>
    <s v="-"/>
    <s v="No"/>
    <n v="0"/>
    <x v="5"/>
    <n v="3"/>
  </r>
  <r>
    <n v="3248"/>
    <s v="Cesar Oliveira"/>
    <x v="0"/>
    <x v="16"/>
    <s v="Yes"/>
    <n v="15"/>
    <x v="2"/>
    <s v="Yes"/>
    <n v="30"/>
    <s v="Yes"/>
    <n v="20"/>
    <x v="10"/>
    <n v="58"/>
  </r>
  <r>
    <n v="3249"/>
    <s v="Débora Machado"/>
    <x v="2"/>
    <x v="17"/>
    <s v="No"/>
    <n v="10"/>
    <x v="0"/>
    <s v="No"/>
    <s v="-"/>
    <s v="Yes"/>
    <n v="20"/>
    <x v="0"/>
    <n v="25"/>
  </r>
  <r>
    <n v="3250"/>
    <s v="Eduardo Vargas"/>
    <x v="1"/>
    <x v="18"/>
    <s v="Yes"/>
    <n v="5"/>
    <x v="1"/>
    <s v="No"/>
    <s v="-"/>
    <s v="No"/>
    <n v="0"/>
    <x v="1"/>
    <n v="5"/>
  </r>
  <r>
    <n v="3251"/>
    <s v="Gabriela Santos"/>
    <x v="0"/>
    <x v="19"/>
    <s v="No"/>
    <n v="15"/>
    <x v="0"/>
    <s v="Yes"/>
    <n v="30"/>
    <s v="Yes"/>
    <n v="20"/>
    <x v="3"/>
    <n v="62"/>
  </r>
  <r>
    <n v="3252"/>
    <s v="Henrique Dias"/>
    <x v="2"/>
    <x v="20"/>
    <s v="Yes"/>
    <n v="10"/>
    <x v="2"/>
    <s v="No"/>
    <s v="-"/>
    <s v="Yes"/>
    <n v="20"/>
    <x v="6"/>
    <n v="15"/>
  </r>
  <r>
    <n v="3253"/>
    <s v="Isabela Moreira"/>
    <x v="1"/>
    <x v="21"/>
    <s v="No"/>
    <n v="5"/>
    <x v="0"/>
    <s v="No"/>
    <s v="-"/>
    <s v="No"/>
    <n v="0"/>
    <x v="4"/>
    <n v="4"/>
  </r>
  <r>
    <n v="3254"/>
    <s v="Joaquim Barbosa"/>
    <x v="0"/>
    <x v="22"/>
    <s v="Yes"/>
    <n v="15"/>
    <x v="1"/>
    <s v="Yes"/>
    <n v="30"/>
    <s v="Yes"/>
    <n v="20"/>
    <x v="7"/>
    <n v="45"/>
  </r>
  <r>
    <n v="3255"/>
    <s v="Lara Rocha"/>
    <x v="2"/>
    <x v="23"/>
    <s v="No"/>
    <n v="10"/>
    <x v="0"/>
    <s v="No"/>
    <s v="-"/>
    <s v="Yes"/>
    <n v="20"/>
    <x v="2"/>
    <n v="20"/>
  </r>
  <r>
    <n v="3256"/>
    <s v="Matheus Silva"/>
    <x v="1"/>
    <x v="24"/>
    <s v="Yes"/>
    <n v="5"/>
    <x v="2"/>
    <s v="No"/>
    <s v="-"/>
    <s v="No"/>
    <n v="0"/>
    <x v="1"/>
    <n v="5"/>
  </r>
  <r>
    <n v="3257"/>
    <s v="Nicole Costa"/>
    <x v="0"/>
    <x v="25"/>
    <s v="No"/>
    <n v="15"/>
    <x v="0"/>
    <s v="Yes"/>
    <n v="30"/>
    <s v="Yes"/>
    <n v="20"/>
    <x v="0"/>
    <n v="60"/>
  </r>
  <r>
    <n v="3258"/>
    <s v="Otávio Mendonça"/>
    <x v="2"/>
    <x v="26"/>
    <s v="Yes"/>
    <n v="10"/>
    <x v="1"/>
    <s v="No"/>
    <s v="-"/>
    <s v="Yes"/>
    <n v="20"/>
    <x v="6"/>
    <n v="15"/>
  </r>
  <r>
    <n v="3259"/>
    <s v="Paula Ferreira"/>
    <x v="1"/>
    <x v="27"/>
    <s v="No"/>
    <n v="5"/>
    <x v="0"/>
    <s v="No"/>
    <s v="-"/>
    <s v="No"/>
    <n v="0"/>
    <x v="4"/>
    <n v="4"/>
  </r>
  <r>
    <n v="3260"/>
    <s v="Raquel Alves"/>
    <x v="0"/>
    <x v="28"/>
    <s v="Yes"/>
    <n v="15"/>
    <x v="2"/>
    <s v="Yes"/>
    <n v="30"/>
    <s v="Yes"/>
    <n v="20"/>
    <x v="10"/>
    <n v="58"/>
  </r>
  <r>
    <n v="3261"/>
    <s v="Samuel Pires"/>
    <x v="2"/>
    <x v="29"/>
    <s v="No"/>
    <n v="10"/>
    <x v="0"/>
    <s v="No"/>
    <s v="-"/>
    <s v="Yes"/>
    <n v="20"/>
    <x v="2"/>
    <n v="20"/>
  </r>
  <r>
    <n v="3262"/>
    <s v="Tânia Barros"/>
    <x v="1"/>
    <x v="30"/>
    <s v="Yes"/>
    <n v="5"/>
    <x v="1"/>
    <s v="No"/>
    <s v="-"/>
    <s v="No"/>
    <n v="0"/>
    <x v="1"/>
    <n v="5"/>
  </r>
  <r>
    <n v="3263"/>
    <s v="Vinicius Lima"/>
    <x v="0"/>
    <x v="31"/>
    <s v="No"/>
    <n v="15"/>
    <x v="0"/>
    <s v="Yes"/>
    <n v="30"/>
    <s v="Yes"/>
    <n v="20"/>
    <x v="3"/>
    <n v="62"/>
  </r>
  <r>
    <n v="3264"/>
    <s v="Yasmin Teixeira"/>
    <x v="2"/>
    <x v="32"/>
    <s v="Yes"/>
    <n v="10"/>
    <x v="2"/>
    <s v="No"/>
    <s v="-"/>
    <s v="Yes"/>
    <n v="20"/>
    <x v="6"/>
    <n v="15"/>
  </r>
  <r>
    <n v="3265"/>
    <s v="Zé Carlos"/>
    <x v="1"/>
    <x v="33"/>
    <s v="No"/>
    <n v="5"/>
    <x v="0"/>
    <s v="No"/>
    <s v="-"/>
    <s v="No"/>
    <n v="0"/>
    <x v="4"/>
    <n v="4"/>
  </r>
  <r>
    <n v="3266"/>
    <s v="Amanda Nogueira"/>
    <x v="1"/>
    <x v="34"/>
    <s v="Yes"/>
    <n v="5"/>
    <x v="0"/>
    <s v="No"/>
    <s v="-"/>
    <s v="No"/>
    <n v="0"/>
    <x v="1"/>
    <n v="5"/>
  </r>
  <r>
    <n v="3267"/>
    <s v="Bruno Cavalheiro"/>
    <x v="0"/>
    <x v="35"/>
    <s v="No"/>
    <n v="15"/>
    <x v="2"/>
    <s v="Yes"/>
    <n v="30"/>
    <s v="Yes"/>
    <n v="20"/>
    <x v="10"/>
    <n v="58"/>
  </r>
  <r>
    <n v="3268"/>
    <s v="Carla Dias"/>
    <x v="2"/>
    <x v="36"/>
    <s v="Yes"/>
    <n v="10"/>
    <x v="1"/>
    <s v="No"/>
    <s v="-"/>
    <s v="Yes"/>
    <n v="20"/>
    <x v="2"/>
    <n v="20"/>
  </r>
  <r>
    <n v="3269"/>
    <s v="Diego Fontes"/>
    <x v="1"/>
    <x v="37"/>
    <s v="No"/>
    <n v="5"/>
    <x v="2"/>
    <s v="No"/>
    <s v="-"/>
    <s v="No"/>
    <n v="0"/>
    <x v="4"/>
    <n v="4"/>
  </r>
  <r>
    <n v="3270"/>
    <s v="Eunice Lima"/>
    <x v="0"/>
    <x v="38"/>
    <s v="Yes"/>
    <n v="15"/>
    <x v="0"/>
    <s v="Yes"/>
    <n v="30"/>
    <s v="Yes"/>
    <n v="20"/>
    <x v="6"/>
    <n v="50"/>
  </r>
  <r>
    <n v="3271"/>
    <s v="Fábio Martins"/>
    <x v="2"/>
    <x v="39"/>
    <s v="No"/>
    <n v="10"/>
    <x v="0"/>
    <s v="No"/>
    <s v="-"/>
    <s v="Yes"/>
    <n v="20"/>
    <x v="0"/>
    <n v="25"/>
  </r>
  <r>
    <n v="3272"/>
    <s v="Gisele Araújo"/>
    <x v="1"/>
    <x v="40"/>
    <s v="Yes"/>
    <n v="5"/>
    <x v="1"/>
    <s v="No"/>
    <s v="-"/>
    <s v="No"/>
    <n v="0"/>
    <x v="1"/>
    <n v="5"/>
  </r>
  <r>
    <n v="3273"/>
    <s v="Hélio Castro"/>
    <x v="0"/>
    <x v="41"/>
    <s v="No"/>
    <n v="15"/>
    <x v="2"/>
    <s v="Yes"/>
    <n v="30"/>
    <s v="Yes"/>
    <n v="20"/>
    <x v="7"/>
    <n v="45"/>
  </r>
  <r>
    <n v="3274"/>
    <s v="Ingrid Menezes"/>
    <x v="2"/>
    <x v="42"/>
    <s v="Yes"/>
    <n v="10"/>
    <x v="2"/>
    <s v="No"/>
    <s v="-"/>
    <s v="Yes"/>
    <n v="20"/>
    <x v="9"/>
    <n v="18"/>
  </r>
  <r>
    <n v="3275"/>
    <s v="Jorge Baptista"/>
    <x v="1"/>
    <x v="43"/>
    <s v="No"/>
    <n v="5"/>
    <x v="0"/>
    <s v="No"/>
    <s v="-"/>
    <s v="No"/>
    <n v="0"/>
    <x v="5"/>
    <n v="3"/>
  </r>
  <r>
    <n v="3276"/>
    <s v="Kléber Oliveira"/>
    <x v="0"/>
    <x v="44"/>
    <s v="Yes"/>
    <n v="15"/>
    <x v="1"/>
    <s v="Yes"/>
    <n v="30"/>
    <s v="Yes"/>
    <n v="20"/>
    <x v="0"/>
    <n v="60"/>
  </r>
  <r>
    <n v="3277"/>
    <s v="Luciana Freitas"/>
    <x v="2"/>
    <x v="45"/>
    <s v="No"/>
    <n v="10"/>
    <x v="0"/>
    <s v="No"/>
    <s v="-"/>
    <s v="Yes"/>
    <n v="20"/>
    <x v="2"/>
    <n v="20"/>
  </r>
  <r>
    <n v="3278"/>
    <s v="Márcia Eller"/>
    <x v="1"/>
    <x v="46"/>
    <s v="Yes"/>
    <n v="5"/>
    <x v="2"/>
    <s v="No"/>
    <s v="-"/>
    <s v="No"/>
    <n v="0"/>
    <x v="1"/>
    <n v="5"/>
  </r>
  <r>
    <n v="3279"/>
    <s v="Nilo Peçanha"/>
    <x v="0"/>
    <x v="47"/>
    <s v="No"/>
    <n v="15"/>
    <x v="0"/>
    <s v="Yes"/>
    <n v="30"/>
    <s v="Yes"/>
    <n v="20"/>
    <x v="3"/>
    <n v="62"/>
  </r>
  <r>
    <n v="3280"/>
    <s v="Oscar Neves"/>
    <x v="2"/>
    <x v="48"/>
    <s v="Yes"/>
    <n v="10"/>
    <x v="1"/>
    <s v="No"/>
    <s v="-"/>
    <s v="Yes"/>
    <n v="20"/>
    <x v="6"/>
    <n v="15"/>
  </r>
  <r>
    <n v="3281"/>
    <s v="Patrícia Soares"/>
    <x v="1"/>
    <x v="49"/>
    <s v="No"/>
    <n v="5"/>
    <x v="0"/>
    <s v="No"/>
    <s v="-"/>
    <s v="No"/>
    <n v="0"/>
    <x v="4"/>
    <n v="4"/>
  </r>
  <r>
    <n v="3282"/>
    <s v="Quirino Gonçalves"/>
    <x v="0"/>
    <x v="50"/>
    <s v="Yes"/>
    <n v="15"/>
    <x v="2"/>
    <s v="Yes"/>
    <n v="30"/>
    <s v="Yes"/>
    <n v="20"/>
    <x v="10"/>
    <n v="58"/>
  </r>
  <r>
    <n v="3283"/>
    <s v="Raul Machado"/>
    <x v="2"/>
    <x v="51"/>
    <s v="No"/>
    <n v="10"/>
    <x v="0"/>
    <s v="No"/>
    <s v="-"/>
    <s v="Yes"/>
    <n v="20"/>
    <x v="2"/>
    <n v="20"/>
  </r>
  <r>
    <n v="3284"/>
    <s v="Sônia Lobo"/>
    <x v="1"/>
    <x v="52"/>
    <s v="Yes"/>
    <n v="5"/>
    <x v="1"/>
    <s v="No"/>
    <s v="-"/>
    <s v="No"/>
    <n v="0"/>
    <x v="1"/>
    <n v="5"/>
  </r>
  <r>
    <n v="3285"/>
    <s v="Tiago Ramos"/>
    <x v="0"/>
    <x v="53"/>
    <s v="No"/>
    <n v="15"/>
    <x v="0"/>
    <s v="Yes"/>
    <n v="30"/>
    <s v="Yes"/>
    <n v="20"/>
    <x v="7"/>
    <n v="45"/>
  </r>
  <r>
    <n v="3286"/>
    <s v="Ugo Pires"/>
    <x v="2"/>
    <x v="54"/>
    <s v="Yes"/>
    <n v="10"/>
    <x v="2"/>
    <s v="No"/>
    <s v="-"/>
    <s v="Yes"/>
    <n v="20"/>
    <x v="6"/>
    <n v="15"/>
  </r>
  <r>
    <n v="3287"/>
    <s v="Valéria Nobre"/>
    <x v="1"/>
    <x v="55"/>
    <s v="No"/>
    <n v="5"/>
    <x v="0"/>
    <s v="No"/>
    <s v="-"/>
    <s v="No"/>
    <n v="0"/>
    <x v="4"/>
    <n v="4"/>
  </r>
  <r>
    <n v="3288"/>
    <s v="William Siqueira"/>
    <x v="0"/>
    <x v="56"/>
    <s v="Yes"/>
    <n v="15"/>
    <x v="1"/>
    <s v="Yes"/>
    <n v="30"/>
    <s v="Yes"/>
    <n v="20"/>
    <x v="3"/>
    <n v="62"/>
  </r>
  <r>
    <n v="3289"/>
    <s v="Xuxa Meneghel"/>
    <x v="2"/>
    <x v="57"/>
    <s v="No"/>
    <n v="10"/>
    <x v="0"/>
    <s v="No"/>
    <s v="-"/>
    <s v="Yes"/>
    <n v="20"/>
    <x v="2"/>
    <n v="20"/>
  </r>
  <r>
    <n v="3290"/>
    <s v="Yara Figueiredo"/>
    <x v="1"/>
    <x v="58"/>
    <s v="Yes"/>
    <n v="5"/>
    <x v="2"/>
    <s v="No"/>
    <s v="-"/>
    <s v="No"/>
    <n v="0"/>
    <x v="1"/>
    <n v="5"/>
  </r>
  <r>
    <n v="3291"/>
    <s v="Zacarias Alves"/>
    <x v="0"/>
    <x v="59"/>
    <s v="No"/>
    <n v="15"/>
    <x v="0"/>
    <s v="Yes"/>
    <n v="30"/>
    <s v="Yes"/>
    <n v="20"/>
    <x v="0"/>
    <n v="60"/>
  </r>
  <r>
    <n v="3292"/>
    <s v="Amanda Bynes"/>
    <x v="2"/>
    <x v="60"/>
    <s v="Yes"/>
    <n v="10"/>
    <x v="1"/>
    <s v="No"/>
    <s v="-"/>
    <s v="Yes"/>
    <n v="20"/>
    <x v="6"/>
    <n v="15"/>
  </r>
  <r>
    <n v="3293"/>
    <s v="Bruno Mars"/>
    <x v="1"/>
    <x v="61"/>
    <s v="No"/>
    <n v="5"/>
    <x v="0"/>
    <s v="No"/>
    <s v="-"/>
    <s v="No"/>
    <n v="0"/>
    <x v="4"/>
    <n v="4"/>
  </r>
  <r>
    <n v="3294"/>
    <s v="Carla Bruni"/>
    <x v="0"/>
    <x v="62"/>
    <s v="Yes"/>
    <n v="15"/>
    <x v="2"/>
    <s v="Yes"/>
    <n v="30"/>
    <s v="Yes"/>
    <n v="20"/>
    <x v="7"/>
    <n v="45"/>
  </r>
  <r>
    <n v="3295"/>
    <s v="Diego Maradona"/>
    <x v="2"/>
    <x v="63"/>
    <s v="No"/>
    <n v="10"/>
    <x v="0"/>
    <s v="No"/>
    <s v="-"/>
    <s v="Yes"/>
    <n v="20"/>
    <x v="0"/>
    <n v="25"/>
  </r>
  <r>
    <n v="3296"/>
    <s v="Estela Marques"/>
    <x v="1"/>
    <x v="64"/>
    <s v="No"/>
    <n v="5"/>
    <x v="0"/>
    <s v="No"/>
    <s v="-"/>
    <s v="No"/>
    <n v="0"/>
    <x v="1"/>
    <n v="5"/>
  </r>
  <r>
    <n v="3297"/>
    <s v="Fábio Nobre"/>
    <x v="0"/>
    <x v="65"/>
    <s v="Yes"/>
    <n v="15"/>
    <x v="2"/>
    <s v="Yes"/>
    <n v="30"/>
    <s v="Yes"/>
    <n v="20"/>
    <x v="10"/>
    <n v="58"/>
  </r>
  <r>
    <n v="3298"/>
    <s v="Gabriel Oliveira"/>
    <x v="2"/>
    <x v="66"/>
    <s v="No"/>
    <n v="10"/>
    <x v="1"/>
    <s v="No"/>
    <s v="-"/>
    <s v="Yes"/>
    <n v="20"/>
    <x v="2"/>
    <n v="20"/>
  </r>
  <r>
    <n v="3299"/>
    <s v="Helena Santos"/>
    <x v="1"/>
    <x v="67"/>
    <s v="Yes"/>
    <n v="5"/>
    <x v="2"/>
    <s v="No"/>
    <s v="-"/>
    <s v="No"/>
    <n v="0"/>
    <x v="4"/>
    <n v="4"/>
  </r>
  <r>
    <n v="3300"/>
    <s v="Ivan Carvalho"/>
    <x v="0"/>
    <x v="68"/>
    <s v="No"/>
    <n v="15"/>
    <x v="0"/>
    <s v="Yes"/>
    <n v="30"/>
    <s v="Yes"/>
    <n v="20"/>
    <x v="6"/>
    <n v="50"/>
  </r>
  <r>
    <n v="3301"/>
    <s v="Júlia Ferreira"/>
    <x v="2"/>
    <x v="69"/>
    <s v="Yes"/>
    <n v="10"/>
    <x v="0"/>
    <s v="No"/>
    <s v="-"/>
    <s v="Yes"/>
    <n v="20"/>
    <x v="0"/>
    <n v="25"/>
  </r>
  <r>
    <n v="3302"/>
    <s v="Karla Alves"/>
    <x v="1"/>
    <x v="70"/>
    <s v="No"/>
    <n v="5"/>
    <x v="1"/>
    <s v="No"/>
    <s v="-"/>
    <s v="No"/>
    <n v="0"/>
    <x v="1"/>
    <n v="5"/>
  </r>
  <r>
    <n v="3303"/>
    <s v="Lucas Mendes"/>
    <x v="0"/>
    <x v="71"/>
    <s v="Yes"/>
    <n v="15"/>
    <x v="2"/>
    <s v="Yes"/>
    <n v="30"/>
    <s v="Yes"/>
    <n v="20"/>
    <x v="7"/>
    <n v="45"/>
  </r>
  <r>
    <n v="3304"/>
    <s v="Mônica Gomes"/>
    <x v="2"/>
    <x v="72"/>
    <s v="No"/>
    <n v="10"/>
    <x v="2"/>
    <s v="No"/>
    <s v="-"/>
    <s v="Yes"/>
    <n v="20"/>
    <x v="9"/>
    <n v="18"/>
  </r>
  <r>
    <n v="3305"/>
    <s v="Norberto Queiroz"/>
    <x v="1"/>
    <x v="73"/>
    <s v="Yes"/>
    <n v="5"/>
    <x v="0"/>
    <s v="No"/>
    <s v="-"/>
    <s v="No"/>
    <n v="0"/>
    <x v="5"/>
    <n v="3"/>
  </r>
  <r>
    <n v="3306"/>
    <s v="Otávio Barros"/>
    <x v="0"/>
    <x v="74"/>
    <s v="No"/>
    <n v="15"/>
    <x v="1"/>
    <s v="Yes"/>
    <n v="30"/>
    <s v="Yes"/>
    <n v="20"/>
    <x v="0"/>
    <n v="60"/>
  </r>
  <r>
    <n v="3307"/>
    <s v="Paula Vieira"/>
    <x v="2"/>
    <x v="75"/>
    <s v="Yes"/>
    <n v="10"/>
    <x v="0"/>
    <s v="No"/>
    <s v="-"/>
    <s v="Yes"/>
    <n v="20"/>
    <x v="2"/>
    <n v="20"/>
  </r>
  <r>
    <n v="3308"/>
    <s v="Quentin Ramos"/>
    <x v="1"/>
    <x v="76"/>
    <s v="No"/>
    <n v="5"/>
    <x v="2"/>
    <s v="No"/>
    <s v="-"/>
    <s v="No"/>
    <n v="0"/>
    <x v="1"/>
    <n v="5"/>
  </r>
  <r>
    <n v="3309"/>
    <s v="Raquel Novaes"/>
    <x v="0"/>
    <x v="77"/>
    <s v="Yes"/>
    <n v="15"/>
    <x v="0"/>
    <s v="Yes"/>
    <n v="30"/>
    <s v="Yes"/>
    <n v="20"/>
    <x v="3"/>
    <n v="62"/>
  </r>
  <r>
    <n v="3310"/>
    <s v="Samantha Lopes"/>
    <x v="2"/>
    <x v="78"/>
    <s v="No"/>
    <n v="10"/>
    <x v="1"/>
    <s v="No"/>
    <s v="-"/>
    <s v="Yes"/>
    <n v="20"/>
    <x v="6"/>
    <n v="15"/>
  </r>
  <r>
    <n v="3311"/>
    <s v="Tiago Martins"/>
    <x v="1"/>
    <x v="79"/>
    <s v="Yes"/>
    <n v="5"/>
    <x v="0"/>
    <s v="No"/>
    <s v="-"/>
    <s v="No"/>
    <n v="0"/>
    <x v="4"/>
    <n v="4"/>
  </r>
  <r>
    <n v="3312"/>
    <s v="Ulysses Guimarães"/>
    <x v="0"/>
    <x v="80"/>
    <s v="No"/>
    <n v="15"/>
    <x v="2"/>
    <s v="Yes"/>
    <n v="30"/>
    <s v="Yes"/>
    <n v="20"/>
    <x v="10"/>
    <n v="58"/>
  </r>
  <r>
    <n v="3313"/>
    <s v="Vanessa Silva"/>
    <x v="2"/>
    <x v="81"/>
    <s v="Yes"/>
    <n v="10"/>
    <x v="0"/>
    <s v="No"/>
    <s v="-"/>
    <s v="Yes"/>
    <n v="20"/>
    <x v="2"/>
    <n v="20"/>
  </r>
  <r>
    <n v="3314"/>
    <s v="William Carneiro"/>
    <x v="1"/>
    <x v="82"/>
    <s v="No"/>
    <n v="5"/>
    <x v="1"/>
    <s v="No"/>
    <s v="-"/>
    <s v="No"/>
    <n v="0"/>
    <x v="1"/>
    <n v="5"/>
  </r>
  <r>
    <n v="3315"/>
    <s v="Ximena Rocha"/>
    <x v="0"/>
    <x v="83"/>
    <s v="Yes"/>
    <n v="15"/>
    <x v="0"/>
    <s v="Yes"/>
    <n v="30"/>
    <s v="Yes"/>
    <n v="20"/>
    <x v="7"/>
    <n v="45"/>
  </r>
  <r>
    <n v="3316"/>
    <s v="Yasmin Figueiredo"/>
    <x v="2"/>
    <x v="84"/>
    <s v="No"/>
    <n v="10"/>
    <x v="2"/>
    <s v="No"/>
    <s v="-"/>
    <s v="Yes"/>
    <n v="20"/>
    <x v="6"/>
    <n v="15"/>
  </r>
  <r>
    <n v="3317"/>
    <s v="Zara Cunha"/>
    <x v="1"/>
    <x v="85"/>
    <s v="Yes"/>
    <n v="5"/>
    <x v="0"/>
    <s v="No"/>
    <s v="-"/>
    <s v="No"/>
    <n v="0"/>
    <x v="4"/>
    <n v="4"/>
  </r>
  <r>
    <n v="3318"/>
    <s v="Alan Teixeira"/>
    <x v="0"/>
    <x v="86"/>
    <s v="No"/>
    <n v="15"/>
    <x v="1"/>
    <s v="Yes"/>
    <n v="30"/>
    <s v="Yes"/>
    <n v="20"/>
    <x v="3"/>
    <n v="62"/>
  </r>
  <r>
    <n v="3319"/>
    <s v="Bárbara Oliveira"/>
    <x v="2"/>
    <x v="87"/>
    <s v="Yes"/>
    <n v="10"/>
    <x v="0"/>
    <s v="No"/>
    <s v="-"/>
    <s v="Yes"/>
    <n v="20"/>
    <x v="2"/>
    <n v="20"/>
  </r>
  <r>
    <n v="3320"/>
    <s v="Carlos Junqueira"/>
    <x v="1"/>
    <x v="88"/>
    <s v="No"/>
    <n v="5"/>
    <x v="2"/>
    <s v="No"/>
    <s v="-"/>
    <s v="No"/>
    <n v="0"/>
    <x v="1"/>
    <n v="5"/>
  </r>
  <r>
    <n v="3321"/>
    <s v="Daniela Moura"/>
    <x v="0"/>
    <x v="89"/>
    <s v="Yes"/>
    <n v="15"/>
    <x v="0"/>
    <s v="Yes"/>
    <n v="30"/>
    <s v="Yes"/>
    <n v="20"/>
    <x v="0"/>
    <n v="60"/>
  </r>
  <r>
    <n v="3322"/>
    <s v="Eduardo Lima"/>
    <x v="2"/>
    <x v="90"/>
    <s v="No"/>
    <n v="10"/>
    <x v="1"/>
    <s v="No"/>
    <s v="-"/>
    <s v="Yes"/>
    <n v="20"/>
    <x v="6"/>
    <n v="15"/>
  </r>
  <r>
    <n v="3323"/>
    <s v="Fabiana Araújo"/>
    <x v="1"/>
    <x v="91"/>
    <s v="Yes"/>
    <n v="5"/>
    <x v="0"/>
    <s v="No"/>
    <s v="-"/>
    <s v="No"/>
    <n v="0"/>
    <x v="4"/>
    <n v="4"/>
  </r>
  <r>
    <n v="3324"/>
    <s v="Geraldo Ribeiro"/>
    <x v="0"/>
    <x v="92"/>
    <s v="No"/>
    <n v="15"/>
    <x v="2"/>
    <s v="Yes"/>
    <n v="30"/>
    <s v="Yes"/>
    <n v="20"/>
    <x v="7"/>
    <n v="45"/>
  </r>
  <r>
    <n v="3325"/>
    <s v="Héctor Vargas"/>
    <x v="2"/>
    <x v="93"/>
    <s v="Yes"/>
    <n v="10"/>
    <x v="2"/>
    <s v="No"/>
    <s v="-"/>
    <s v="Yes"/>
    <n v="20"/>
    <x v="6"/>
    <n v="15"/>
  </r>
  <r>
    <n v="3326"/>
    <s v="Isabela Fonseca"/>
    <x v="1"/>
    <x v="94"/>
    <s v="No"/>
    <n v="5"/>
    <x v="1"/>
    <s v="No"/>
    <s v="-"/>
    <s v="No"/>
    <n v="0"/>
    <x v="1"/>
    <n v="5"/>
  </r>
  <r>
    <n v="3327"/>
    <s v="João Pedro Almeida"/>
    <x v="0"/>
    <x v="95"/>
    <s v="Yes"/>
    <n v="15"/>
    <x v="0"/>
    <s v="Yes"/>
    <n v="30"/>
    <s v="Yes"/>
    <n v="20"/>
    <x v="10"/>
    <n v="58"/>
  </r>
  <r>
    <n v="3328"/>
    <s v="Klara Costa"/>
    <x v="2"/>
    <x v="96"/>
    <s v="No"/>
    <n v="10"/>
    <x v="1"/>
    <s v="No"/>
    <s v="-"/>
    <s v="Yes"/>
    <n v="20"/>
    <x v="2"/>
    <n v="20"/>
  </r>
  <r>
    <n v="3329"/>
    <s v="Luciana Mendes"/>
    <x v="1"/>
    <x v="97"/>
    <s v="Yes"/>
    <n v="5"/>
    <x v="2"/>
    <s v="No"/>
    <s v="-"/>
    <s v="No"/>
    <n v="0"/>
    <x v="4"/>
    <n v="4"/>
  </r>
  <r>
    <n v="3330"/>
    <s v="Marcelo Gouveia"/>
    <x v="0"/>
    <x v="98"/>
    <s v="No"/>
    <n v="15"/>
    <x v="0"/>
    <s v="Yes"/>
    <n v="30"/>
    <s v="Yes"/>
    <n v="20"/>
    <x v="6"/>
    <n v="50"/>
  </r>
  <r>
    <n v="3331"/>
    <s v="Nívea Borges"/>
    <x v="2"/>
    <x v="99"/>
    <s v="Yes"/>
    <n v="10"/>
    <x v="0"/>
    <s v="No"/>
    <s v="-"/>
    <s v="Yes"/>
    <n v="20"/>
    <x v="0"/>
    <n v="25"/>
  </r>
  <r>
    <n v="3332"/>
    <s v="Oscar Nogueira"/>
    <x v="1"/>
    <x v="100"/>
    <s v="No"/>
    <n v="5"/>
    <x v="1"/>
    <s v="No"/>
    <s v="-"/>
    <s v="No"/>
    <n v="0"/>
    <x v="1"/>
    <n v="5"/>
  </r>
  <r>
    <n v="3333"/>
    <s v="Patrícia Alves"/>
    <x v="0"/>
    <x v="101"/>
    <s v="Yes"/>
    <n v="15"/>
    <x v="2"/>
    <s v="Yes"/>
    <n v="30"/>
    <s v="Yes"/>
    <n v="20"/>
    <x v="7"/>
    <n v="45"/>
  </r>
  <r>
    <n v="3334"/>
    <s v="Rafaela Silva"/>
    <x v="2"/>
    <x v="102"/>
    <s v="No"/>
    <n v="10"/>
    <x v="2"/>
    <s v="No"/>
    <s v="-"/>
    <s v="Yes"/>
    <n v="20"/>
    <x v="9"/>
    <n v="18"/>
  </r>
  <r>
    <n v="3335"/>
    <s v="Samantha Moraes"/>
    <x v="1"/>
    <x v="103"/>
    <s v="Yes"/>
    <n v="5"/>
    <x v="0"/>
    <s v="No"/>
    <s v="-"/>
    <s v="No"/>
    <n v="0"/>
    <x v="5"/>
    <n v="3"/>
  </r>
  <r>
    <n v="3336"/>
    <s v="Tatiana Rocha"/>
    <x v="1"/>
    <x v="104"/>
    <s v="Yes"/>
    <n v="5"/>
    <x v="0"/>
    <s v="No"/>
    <s v="-"/>
    <s v="No"/>
    <n v="0"/>
    <x v="1"/>
    <n v="5"/>
  </r>
  <r>
    <n v="3337"/>
    <s v="Ulisses Tavares"/>
    <x v="0"/>
    <x v="105"/>
    <s v="No"/>
    <n v="15"/>
    <x v="2"/>
    <s v="Yes"/>
    <n v="30"/>
    <s v="Yes"/>
    <n v="20"/>
    <x v="10"/>
    <n v="58"/>
  </r>
  <r>
    <n v="3338"/>
    <s v="Víctor Lemos"/>
    <x v="2"/>
    <x v="106"/>
    <s v="Yes"/>
    <n v="10"/>
    <x v="1"/>
    <s v="No"/>
    <s v="-"/>
    <s v="Yes"/>
    <n v="20"/>
    <x v="2"/>
    <n v="20"/>
  </r>
  <r>
    <n v="3339"/>
    <s v="Wilma Barros"/>
    <x v="1"/>
    <x v="107"/>
    <s v="No"/>
    <n v="5"/>
    <x v="2"/>
    <s v="No"/>
    <s v="-"/>
    <s v="No"/>
    <n v="0"/>
    <x v="4"/>
    <n v="4"/>
  </r>
  <r>
    <n v="3340"/>
    <s v="Xavier Nascimento"/>
    <x v="0"/>
    <x v="108"/>
    <s v="Yes"/>
    <n v="15"/>
    <x v="0"/>
    <s v="Yes"/>
    <n v="30"/>
    <s v="Yes"/>
    <n v="20"/>
    <x v="6"/>
    <n v="50"/>
  </r>
  <r>
    <n v="3341"/>
    <s v="Yago Pereira"/>
    <x v="2"/>
    <x v="109"/>
    <s v="No"/>
    <n v="10"/>
    <x v="0"/>
    <s v="No"/>
    <s v="-"/>
    <s v="Yes"/>
    <n v="20"/>
    <x v="0"/>
    <n v="25"/>
  </r>
  <r>
    <n v="3342"/>
    <s v="Zilda Ferreira"/>
    <x v="1"/>
    <x v="110"/>
    <s v="Yes"/>
    <n v="5"/>
    <x v="1"/>
    <s v="No"/>
    <s v="-"/>
    <s v="No"/>
    <n v="0"/>
    <x v="1"/>
    <n v="5"/>
  </r>
  <r>
    <n v="3343"/>
    <s v="Amanda Lopes"/>
    <x v="0"/>
    <x v="111"/>
    <s v="No"/>
    <n v="15"/>
    <x v="2"/>
    <s v="Yes"/>
    <n v="30"/>
    <s v="Yes"/>
    <n v="20"/>
    <x v="7"/>
    <n v="45"/>
  </r>
  <r>
    <n v="3344"/>
    <s v="Bruno Miranda"/>
    <x v="2"/>
    <x v="112"/>
    <s v="Yes"/>
    <n v="10"/>
    <x v="2"/>
    <s v="No"/>
    <s v="-"/>
    <s v="Yes"/>
    <n v="20"/>
    <x v="9"/>
    <n v="18"/>
  </r>
  <r>
    <n v="3345"/>
    <s v="Célia Torres"/>
    <x v="1"/>
    <x v="113"/>
    <s v="No"/>
    <n v="5"/>
    <x v="0"/>
    <s v="No"/>
    <s v="-"/>
    <s v="No"/>
    <n v="0"/>
    <x v="5"/>
    <n v="3"/>
  </r>
  <r>
    <n v="3346"/>
    <s v="Diogo Souza"/>
    <x v="0"/>
    <x v="114"/>
    <s v="Yes"/>
    <n v="15"/>
    <x v="1"/>
    <s v="Yes"/>
    <n v="30"/>
    <s v="Yes"/>
    <n v="20"/>
    <x v="0"/>
    <n v="60"/>
  </r>
  <r>
    <n v="3347"/>
    <s v="Elisa Castro"/>
    <x v="2"/>
    <x v="115"/>
    <s v="No"/>
    <n v="10"/>
    <x v="0"/>
    <s v="No"/>
    <s v="-"/>
    <s v="Yes"/>
    <n v="20"/>
    <x v="2"/>
    <n v="20"/>
  </r>
  <r>
    <n v="3348"/>
    <s v="Fátima Lima"/>
    <x v="1"/>
    <x v="116"/>
    <s v="Yes"/>
    <n v="5"/>
    <x v="2"/>
    <s v="No"/>
    <s v="-"/>
    <s v="No"/>
    <n v="0"/>
    <x v="1"/>
    <n v="5"/>
  </r>
  <r>
    <n v="3349"/>
    <s v="Geraldo Ribeiro"/>
    <x v="0"/>
    <x v="117"/>
    <s v="No"/>
    <n v="15"/>
    <x v="0"/>
    <s v="Yes"/>
    <n v="30"/>
    <s v="Yes"/>
    <n v="20"/>
    <x v="3"/>
    <n v="62"/>
  </r>
  <r>
    <n v="3350"/>
    <s v="Hélio Martins"/>
    <x v="2"/>
    <x v="118"/>
    <s v="Yes"/>
    <n v="10"/>
    <x v="1"/>
    <s v="No"/>
    <s v="-"/>
    <s v="Yes"/>
    <n v="20"/>
    <x v="6"/>
    <n v="15"/>
  </r>
  <r>
    <n v="3351"/>
    <s v="Íris Santos"/>
    <x v="1"/>
    <x v="119"/>
    <s v="No"/>
    <n v="5"/>
    <x v="0"/>
    <s v="No"/>
    <s v="-"/>
    <s v="No"/>
    <n v="0"/>
    <x v="4"/>
    <n v="4"/>
  </r>
  <r>
    <n v="3352"/>
    <s v="João Marcelo"/>
    <x v="0"/>
    <x v="120"/>
    <s v="Yes"/>
    <n v="15"/>
    <x v="2"/>
    <s v="Yes"/>
    <n v="30"/>
    <s v="Yes"/>
    <n v="20"/>
    <x v="10"/>
    <n v="58"/>
  </r>
  <r>
    <n v="3353"/>
    <s v="Larissa Gomes"/>
    <x v="2"/>
    <x v="121"/>
    <s v="No"/>
    <n v="10"/>
    <x v="0"/>
    <s v="No"/>
    <s v="-"/>
    <s v="Yes"/>
    <n v="20"/>
    <x v="2"/>
    <n v="20"/>
  </r>
  <r>
    <n v="3354"/>
    <s v="Márcio Silva"/>
    <x v="1"/>
    <x v="122"/>
    <s v="Yes"/>
    <n v="5"/>
    <x v="1"/>
    <s v="No"/>
    <s v="-"/>
    <s v="No"/>
    <n v="0"/>
    <x v="1"/>
    <n v="5"/>
  </r>
  <r>
    <n v="3355"/>
    <s v="Nadia Costa"/>
    <x v="0"/>
    <x v="123"/>
    <s v="No"/>
    <n v="15"/>
    <x v="0"/>
    <s v="Yes"/>
    <n v="30"/>
    <s v="Yes"/>
    <n v="20"/>
    <x v="7"/>
    <n v="45"/>
  </r>
  <r>
    <n v="3356"/>
    <s v="Oscar Almeida"/>
    <x v="2"/>
    <x v="124"/>
    <s v="Yes"/>
    <n v="10"/>
    <x v="2"/>
    <s v="No"/>
    <s v="-"/>
    <s v="Yes"/>
    <n v="20"/>
    <x v="6"/>
    <n v="15"/>
  </r>
  <r>
    <n v="3357"/>
    <s v="Patricia Soares"/>
    <x v="1"/>
    <x v="125"/>
    <s v="No"/>
    <n v="5"/>
    <x v="0"/>
    <s v="No"/>
    <s v="-"/>
    <s v="No"/>
    <n v="0"/>
    <x v="4"/>
    <n v="4"/>
  </r>
  <r>
    <n v="3358"/>
    <s v="Quênia Barros"/>
    <x v="0"/>
    <x v="126"/>
    <s v="Yes"/>
    <n v="15"/>
    <x v="1"/>
    <s v="Yes"/>
    <n v="30"/>
    <s v="Yes"/>
    <n v="20"/>
    <x v="3"/>
    <n v="62"/>
  </r>
  <r>
    <n v="3359"/>
    <s v="Rafael Torres"/>
    <x v="2"/>
    <x v="127"/>
    <s v="No"/>
    <n v="10"/>
    <x v="0"/>
    <s v="No"/>
    <s v="-"/>
    <s v="Yes"/>
    <n v="20"/>
    <x v="2"/>
    <n v="20"/>
  </r>
  <r>
    <n v="3360"/>
    <s v="Silvia Nascimento"/>
    <x v="1"/>
    <x v="128"/>
    <s v="Yes"/>
    <n v="5"/>
    <x v="2"/>
    <s v="No"/>
    <s v="-"/>
    <s v="No"/>
    <n v="0"/>
    <x v="1"/>
    <n v="5"/>
  </r>
  <r>
    <n v="3361"/>
    <s v="Tiago Mendes"/>
    <x v="0"/>
    <x v="129"/>
    <s v="No"/>
    <n v="15"/>
    <x v="0"/>
    <s v="Yes"/>
    <n v="30"/>
    <s v="Yes"/>
    <n v="20"/>
    <x v="6"/>
    <n v="50"/>
  </r>
  <r>
    <n v="3362"/>
    <s v="Ursula Silva"/>
    <x v="2"/>
    <x v="130"/>
    <s v="Yes"/>
    <n v="10"/>
    <x v="1"/>
    <s v="No"/>
    <s v="-"/>
    <s v="Yes"/>
    <n v="20"/>
    <x v="6"/>
    <n v="15"/>
  </r>
  <r>
    <n v="3363"/>
    <s v="Vanessa Moraes"/>
    <x v="1"/>
    <x v="131"/>
    <s v="No"/>
    <n v="5"/>
    <x v="0"/>
    <s v="No"/>
    <s v="-"/>
    <s v="No"/>
    <n v="0"/>
    <x v="4"/>
    <n v="4"/>
  </r>
  <r>
    <n v="3364"/>
    <s v="Waldir Junior"/>
    <x v="0"/>
    <x v="132"/>
    <s v="Yes"/>
    <n v="15"/>
    <x v="2"/>
    <s v="Yes"/>
    <n v="30"/>
    <s v="Yes"/>
    <n v="20"/>
    <x v="10"/>
    <n v="58"/>
  </r>
  <r>
    <n v="3365"/>
    <s v="Xavier Lopes"/>
    <x v="2"/>
    <x v="133"/>
    <s v="No"/>
    <n v="10"/>
    <x v="0"/>
    <s v="No"/>
    <s v="-"/>
    <s v="Yes"/>
    <n v="20"/>
    <x v="2"/>
    <n v="20"/>
  </r>
  <r>
    <n v="3366"/>
    <s v="Yolanda Freitas"/>
    <x v="1"/>
    <x v="134"/>
    <s v="Yes"/>
    <n v="5"/>
    <x v="0"/>
    <s v="No"/>
    <s v="-"/>
    <s v="No"/>
    <n v="0"/>
    <x v="1"/>
    <n v="5"/>
  </r>
  <r>
    <n v="3367"/>
    <s v="Zacarias Nunes"/>
    <x v="0"/>
    <x v="135"/>
    <s v="No"/>
    <n v="15"/>
    <x v="2"/>
    <s v="Yes"/>
    <n v="30"/>
    <s v="Yes"/>
    <n v="20"/>
    <x v="10"/>
    <n v="58"/>
  </r>
  <r>
    <n v="3368"/>
    <s v="Ana Clara Barreto"/>
    <x v="2"/>
    <x v="136"/>
    <s v="Yes"/>
    <n v="10"/>
    <x v="1"/>
    <s v="No"/>
    <s v="-"/>
    <s v="Yes"/>
    <n v="20"/>
    <x v="2"/>
    <n v="20"/>
  </r>
  <r>
    <n v="3369"/>
    <s v="Bruno Henrique"/>
    <x v="1"/>
    <x v="137"/>
    <s v="No"/>
    <n v="5"/>
    <x v="2"/>
    <s v="No"/>
    <s v="-"/>
    <s v="No"/>
    <n v="0"/>
    <x v="4"/>
    <n v="4"/>
  </r>
  <r>
    <n v="3370"/>
    <s v="Carlos Eduardo"/>
    <x v="0"/>
    <x v="138"/>
    <s v="Yes"/>
    <n v="15"/>
    <x v="0"/>
    <s v="Yes"/>
    <n v="30"/>
    <s v="Yes"/>
    <n v="20"/>
    <x v="6"/>
    <n v="50"/>
  </r>
  <r>
    <n v="3371"/>
    <s v="Débora Lima"/>
    <x v="2"/>
    <x v="139"/>
    <s v="No"/>
    <n v="10"/>
    <x v="0"/>
    <s v="No"/>
    <s v="-"/>
    <s v="Yes"/>
    <n v="20"/>
    <x v="0"/>
    <n v="25"/>
  </r>
  <r>
    <n v="3372"/>
    <s v="Elisa Neves"/>
    <x v="1"/>
    <x v="140"/>
    <s v="Yes"/>
    <n v="5"/>
    <x v="1"/>
    <s v="No"/>
    <s v="-"/>
    <s v="No"/>
    <n v="0"/>
    <x v="1"/>
    <n v="5"/>
  </r>
  <r>
    <n v="3373"/>
    <s v="Fabiano Gomes"/>
    <x v="0"/>
    <x v="141"/>
    <s v="No"/>
    <n v="15"/>
    <x v="2"/>
    <s v="Yes"/>
    <n v="30"/>
    <s v="Yes"/>
    <n v="20"/>
    <x v="7"/>
    <n v="45"/>
  </r>
  <r>
    <n v="3374"/>
    <s v="Gisele Oliveira"/>
    <x v="2"/>
    <x v="142"/>
    <s v="Yes"/>
    <n v="10"/>
    <x v="2"/>
    <s v="No"/>
    <s v="-"/>
    <s v="Yes"/>
    <n v="20"/>
    <x v="9"/>
    <n v="18"/>
  </r>
  <r>
    <n v="3375"/>
    <s v="Héctor Silva"/>
    <x v="1"/>
    <x v="143"/>
    <s v="No"/>
    <n v="5"/>
    <x v="0"/>
    <s v="No"/>
    <s v="-"/>
    <s v="No"/>
    <n v="0"/>
    <x v="5"/>
    <n v="3"/>
  </r>
  <r>
    <n v="3376"/>
    <s v="Igor Martins"/>
    <x v="0"/>
    <x v="144"/>
    <s v="Yes"/>
    <n v="15"/>
    <x v="1"/>
    <s v="Yes"/>
    <n v="30"/>
    <s v="Yes"/>
    <n v="20"/>
    <x v="0"/>
    <n v="60"/>
  </r>
  <r>
    <n v="3377"/>
    <s v="Joana Figueiredo"/>
    <x v="2"/>
    <x v="145"/>
    <s v="No"/>
    <n v="10"/>
    <x v="0"/>
    <s v="No"/>
    <s v="-"/>
    <s v="Yes"/>
    <n v="20"/>
    <x v="2"/>
    <n v="20"/>
  </r>
  <r>
    <n v="3378"/>
    <s v="Kleber Machado"/>
    <x v="1"/>
    <x v="146"/>
    <s v="Yes"/>
    <n v="5"/>
    <x v="2"/>
    <s v="No"/>
    <s v="-"/>
    <s v="No"/>
    <n v="0"/>
    <x v="1"/>
    <n v="5"/>
  </r>
  <r>
    <n v="3379"/>
    <s v="Luciana Santos"/>
    <x v="0"/>
    <x v="147"/>
    <s v="No"/>
    <n v="15"/>
    <x v="0"/>
    <s v="Yes"/>
    <n v="30"/>
    <s v="Yes"/>
    <n v="20"/>
    <x v="3"/>
    <n v="62"/>
  </r>
  <r>
    <n v="3380"/>
    <s v="Marcos Teixeira"/>
    <x v="2"/>
    <x v="148"/>
    <s v="Yes"/>
    <n v="10"/>
    <x v="1"/>
    <s v="No"/>
    <s v="-"/>
    <s v="Yes"/>
    <n v="20"/>
    <x v="6"/>
    <n v="15"/>
  </r>
  <r>
    <n v="3381"/>
    <s v="Natalia Costa"/>
    <x v="1"/>
    <x v="149"/>
    <s v="No"/>
    <n v="5"/>
    <x v="0"/>
    <s v="No"/>
    <s v="-"/>
    <s v="No"/>
    <n v="0"/>
    <x v="4"/>
    <n v="4"/>
  </r>
  <r>
    <n v="3382"/>
    <s v="Oscar Ribeiro"/>
    <x v="0"/>
    <x v="150"/>
    <s v="Yes"/>
    <n v="15"/>
    <x v="2"/>
    <s v="Yes"/>
    <n v="30"/>
    <s v="Yes"/>
    <n v="20"/>
    <x v="10"/>
    <n v="58"/>
  </r>
  <r>
    <n v="3383"/>
    <s v="Patricia Almeida"/>
    <x v="2"/>
    <x v="151"/>
    <s v="No"/>
    <n v="10"/>
    <x v="0"/>
    <s v="No"/>
    <s v="-"/>
    <s v="Yes"/>
    <n v="20"/>
    <x v="2"/>
    <n v="20"/>
  </r>
  <r>
    <n v="3384"/>
    <s v="Quirino Junior"/>
    <x v="1"/>
    <x v="152"/>
    <s v="Yes"/>
    <n v="5"/>
    <x v="1"/>
    <s v="No"/>
    <s v="-"/>
    <s v="No"/>
    <n v="0"/>
    <x v="1"/>
    <n v="5"/>
  </r>
  <r>
    <n v="3385"/>
    <s v="Renata Machado"/>
    <x v="0"/>
    <x v="153"/>
    <s v="No"/>
    <n v="15"/>
    <x v="0"/>
    <s v="Yes"/>
    <n v="30"/>
    <s v="Yes"/>
    <n v="20"/>
    <x v="7"/>
    <n v="45"/>
  </r>
  <r>
    <n v="3386"/>
    <s v="Sônia Alves"/>
    <x v="2"/>
    <x v="154"/>
    <s v="Yes"/>
    <n v="10"/>
    <x v="2"/>
    <s v="No"/>
    <s v="-"/>
    <s v="Yes"/>
    <n v="20"/>
    <x v="6"/>
    <n v="15"/>
  </r>
  <r>
    <n v="3387"/>
    <s v="Tiago Nunes"/>
    <x v="1"/>
    <x v="155"/>
    <s v="No"/>
    <n v="5"/>
    <x v="0"/>
    <s v="No"/>
    <s v="-"/>
    <s v="No"/>
    <n v="0"/>
    <x v="4"/>
    <n v="4"/>
  </r>
  <r>
    <n v="3388"/>
    <s v="Ulysses Pereira"/>
    <x v="0"/>
    <x v="156"/>
    <s v="Yes"/>
    <n v="15"/>
    <x v="1"/>
    <s v="Yes"/>
    <n v="30"/>
    <s v="Yes"/>
    <n v="20"/>
    <x v="3"/>
    <n v="62"/>
  </r>
  <r>
    <n v="3389"/>
    <s v="Vanessa Lima"/>
    <x v="2"/>
    <x v="157"/>
    <s v="No"/>
    <n v="10"/>
    <x v="0"/>
    <s v="No"/>
    <s v="-"/>
    <s v="Yes"/>
    <n v="20"/>
    <x v="2"/>
    <n v="20"/>
  </r>
  <r>
    <n v="3390"/>
    <s v="Wagner Santos"/>
    <x v="1"/>
    <x v="158"/>
    <s v="Yes"/>
    <n v="5"/>
    <x v="2"/>
    <s v="No"/>
    <s v="-"/>
    <s v="No"/>
    <n v="0"/>
    <x v="1"/>
    <n v="5"/>
  </r>
  <r>
    <n v="3391"/>
    <s v="Xuxa Meneghel"/>
    <x v="0"/>
    <x v="159"/>
    <s v="No"/>
    <n v="15"/>
    <x v="0"/>
    <s v="Yes"/>
    <n v="30"/>
    <s v="Yes"/>
    <n v="20"/>
    <x v="6"/>
    <n v="50"/>
  </r>
  <r>
    <n v="3392"/>
    <s v="Yasmin Silva"/>
    <x v="2"/>
    <x v="160"/>
    <s v="Yes"/>
    <n v="10"/>
    <x v="1"/>
    <s v="No"/>
    <s v="-"/>
    <s v="Yes"/>
    <n v="20"/>
    <x v="6"/>
    <n v="15"/>
  </r>
  <r>
    <n v="3393"/>
    <s v="Zacarias de Souza"/>
    <x v="1"/>
    <x v="161"/>
    <s v="No"/>
    <n v="5"/>
    <x v="0"/>
    <s v="No"/>
    <s v="-"/>
    <s v="No"/>
    <n v="0"/>
    <x v="4"/>
    <n v="4"/>
  </r>
  <r>
    <n v="3394"/>
    <s v="André Lima"/>
    <x v="0"/>
    <x v="162"/>
    <s v="Yes"/>
    <n v="15"/>
    <x v="2"/>
    <s v="Yes"/>
    <n v="30"/>
    <s v="Yes"/>
    <n v="20"/>
    <x v="10"/>
    <n v="58"/>
  </r>
  <r>
    <n v="3395"/>
    <s v="Bianca Freitas"/>
    <x v="2"/>
    <x v="163"/>
    <s v="No"/>
    <n v="10"/>
    <x v="0"/>
    <s v="No"/>
    <s v="-"/>
    <s v="Yes"/>
    <n v="20"/>
    <x v="2"/>
    <n v="20"/>
  </r>
  <r>
    <n v="3396"/>
    <s v="Caio Mendes"/>
    <x v="1"/>
    <x v="164"/>
    <s v="Yes"/>
    <n v="5"/>
    <x v="1"/>
    <s v="No"/>
    <s v="-"/>
    <s v="No"/>
    <n v="0"/>
    <x v="1"/>
    <n v="5"/>
  </r>
  <r>
    <n v="3397"/>
    <s v="Daniela Moura"/>
    <x v="0"/>
    <x v="165"/>
    <s v="No"/>
    <n v="15"/>
    <x v="0"/>
    <s v="Yes"/>
    <n v="30"/>
    <s v="Yes"/>
    <n v="20"/>
    <x v="7"/>
    <n v="45"/>
  </r>
  <r>
    <n v="3398"/>
    <s v="Eduardo Costa"/>
    <x v="2"/>
    <x v="166"/>
    <s v="Yes"/>
    <n v="10"/>
    <x v="2"/>
    <s v="No"/>
    <s v="-"/>
    <s v="Yes"/>
    <n v="20"/>
    <x v="6"/>
    <n v="15"/>
  </r>
  <r>
    <n v="3399"/>
    <s v="Fernanda Gomes"/>
    <x v="1"/>
    <x v="167"/>
    <s v="No"/>
    <n v="5"/>
    <x v="0"/>
    <s v="No"/>
    <s v="-"/>
    <s v="No"/>
    <n v="0"/>
    <x v="4"/>
    <n v="4"/>
  </r>
  <r>
    <n v="3400"/>
    <s v="Guilherme Souza"/>
    <x v="0"/>
    <x v="168"/>
    <s v="Yes"/>
    <n v="15"/>
    <x v="1"/>
    <s v="Yes"/>
    <n v="30"/>
    <s v="Yes"/>
    <n v="20"/>
    <x v="0"/>
    <n v="60"/>
  </r>
  <r>
    <n v="3401"/>
    <s v="Helena Ribeiro"/>
    <x v="2"/>
    <x v="169"/>
    <s v="No"/>
    <n v="10"/>
    <x v="0"/>
    <s v="No"/>
    <s v="-"/>
    <s v="Yes"/>
    <n v="20"/>
    <x v="2"/>
    <n v="20"/>
  </r>
  <r>
    <n v="3402"/>
    <s v="Igor Santos"/>
    <x v="1"/>
    <x v="170"/>
    <s v="Yes"/>
    <n v="5"/>
    <x v="2"/>
    <s v="No"/>
    <s v="-"/>
    <s v="No"/>
    <n v="0"/>
    <x v="1"/>
    <n v="5"/>
  </r>
  <r>
    <n v="3403"/>
    <s v="João Carvalho"/>
    <x v="0"/>
    <x v="171"/>
    <s v="No"/>
    <n v="15"/>
    <x v="0"/>
    <s v="Yes"/>
    <n v="30"/>
    <s v="Yes"/>
    <n v="20"/>
    <x v="3"/>
    <n v="62"/>
  </r>
  <r>
    <n v="3404"/>
    <s v="Klara Fagundes"/>
    <x v="2"/>
    <x v="172"/>
    <s v="Yes"/>
    <n v="10"/>
    <x v="1"/>
    <s v="No"/>
    <s v="-"/>
    <s v="Yes"/>
    <n v="20"/>
    <x v="6"/>
    <n v="15"/>
  </r>
  <r>
    <n v="3405"/>
    <s v="Lúcia Mendonça"/>
    <x v="1"/>
    <x v="173"/>
    <s v="No"/>
    <n v="5"/>
    <x v="0"/>
    <s v="No"/>
    <s v="-"/>
    <s v="No"/>
    <n v="0"/>
    <x v="4"/>
    <n v="4"/>
  </r>
  <r>
    <n v="3406"/>
    <s v="Marcelo Novaes"/>
    <x v="1"/>
    <x v="174"/>
    <s v="Yes"/>
    <n v="5"/>
    <x v="0"/>
    <s v="No"/>
    <s v="-"/>
    <s v="No"/>
    <n v="0"/>
    <x v="1"/>
    <n v="5"/>
  </r>
  <r>
    <n v="3407"/>
    <s v="Nina Pacheco"/>
    <x v="0"/>
    <x v="175"/>
    <s v="No"/>
    <n v="15"/>
    <x v="2"/>
    <s v="Yes"/>
    <n v="30"/>
    <s v="Yes"/>
    <n v="20"/>
    <x v="10"/>
    <n v="58"/>
  </r>
  <r>
    <n v="3408"/>
    <s v="Olívia Rios"/>
    <x v="2"/>
    <x v="176"/>
    <s v="Yes"/>
    <n v="10"/>
    <x v="1"/>
    <s v="No"/>
    <s v="-"/>
    <s v="Yes"/>
    <n v="20"/>
    <x v="2"/>
    <n v="20"/>
  </r>
  <r>
    <n v="3409"/>
    <s v="Paulo Quintana"/>
    <x v="1"/>
    <x v="177"/>
    <s v="No"/>
    <n v="5"/>
    <x v="2"/>
    <s v="No"/>
    <s v="-"/>
    <s v="No"/>
    <n v="0"/>
    <x v="4"/>
    <n v="4"/>
  </r>
  <r>
    <n v="3410"/>
    <s v="Raquel Domingos"/>
    <x v="0"/>
    <x v="178"/>
    <s v="Yes"/>
    <n v="15"/>
    <x v="0"/>
    <s v="Yes"/>
    <n v="30"/>
    <s v="Yes"/>
    <n v="20"/>
    <x v="6"/>
    <n v="50"/>
  </r>
  <r>
    <n v="3411"/>
    <s v="Samuel Viana"/>
    <x v="2"/>
    <x v="179"/>
    <s v="No"/>
    <n v="10"/>
    <x v="0"/>
    <s v="No"/>
    <s v="-"/>
    <s v="Yes"/>
    <n v="20"/>
    <x v="0"/>
    <n v="25"/>
  </r>
  <r>
    <n v="3412"/>
    <s v="Tatiane Rocha"/>
    <x v="1"/>
    <x v="180"/>
    <s v="Yes"/>
    <n v="5"/>
    <x v="1"/>
    <s v="No"/>
    <s v="-"/>
    <s v="No"/>
    <n v="0"/>
    <x v="1"/>
    <n v="5"/>
  </r>
  <r>
    <n v="3413"/>
    <s v="Ulysses Farias"/>
    <x v="0"/>
    <x v="181"/>
    <s v="No"/>
    <n v="15"/>
    <x v="2"/>
    <s v="Yes"/>
    <n v="30"/>
    <s v="Yes"/>
    <n v="20"/>
    <x v="7"/>
    <n v="45"/>
  </r>
  <r>
    <n v="3414"/>
    <s v="Vanessa Moreira"/>
    <x v="2"/>
    <x v="182"/>
    <s v="Yes"/>
    <n v="10"/>
    <x v="2"/>
    <s v="No"/>
    <s v="-"/>
    <s v="Yes"/>
    <n v="20"/>
    <x v="9"/>
    <n v="18"/>
  </r>
  <r>
    <n v="3415"/>
    <s v="William Carvalho"/>
    <x v="1"/>
    <x v="183"/>
    <s v="No"/>
    <n v="5"/>
    <x v="0"/>
    <s v="No"/>
    <s v="-"/>
    <s v="No"/>
    <n v="0"/>
    <x v="5"/>
    <n v="3"/>
  </r>
  <r>
    <n v="3416"/>
    <s v="Ximena Barros"/>
    <x v="0"/>
    <x v="184"/>
    <s v="Yes"/>
    <n v="15"/>
    <x v="1"/>
    <s v="Yes"/>
    <n v="30"/>
    <s v="Yes"/>
    <n v="20"/>
    <x v="0"/>
    <n v="60"/>
  </r>
  <r>
    <n v="3417"/>
    <s v="Yara Machado"/>
    <x v="2"/>
    <x v="185"/>
    <s v="No"/>
    <n v="10"/>
    <x v="0"/>
    <s v="No"/>
    <s v="-"/>
    <s v="Yes"/>
    <n v="20"/>
    <x v="2"/>
    <n v="20"/>
  </r>
  <r>
    <n v="3418"/>
    <s v="Zacarias Costa"/>
    <x v="1"/>
    <x v="186"/>
    <s v="Yes"/>
    <n v="5"/>
    <x v="2"/>
    <s v="No"/>
    <s v="-"/>
    <s v="No"/>
    <n v="0"/>
    <x v="1"/>
    <n v="5"/>
  </r>
  <r>
    <n v="3419"/>
    <s v="André Lopes"/>
    <x v="0"/>
    <x v="187"/>
    <s v="No"/>
    <n v="15"/>
    <x v="0"/>
    <s v="Yes"/>
    <n v="30"/>
    <s v="Yes"/>
    <n v="20"/>
    <x v="3"/>
    <n v="62"/>
  </r>
  <r>
    <n v="3420"/>
    <s v="Beatriz Souza"/>
    <x v="2"/>
    <x v="188"/>
    <s v="Yes"/>
    <n v="10"/>
    <x v="1"/>
    <s v="No"/>
    <s v="-"/>
    <s v="Yes"/>
    <n v="20"/>
    <x v="6"/>
    <n v="15"/>
  </r>
  <r>
    <n v="3421"/>
    <s v="Caio Pereira"/>
    <x v="1"/>
    <x v="189"/>
    <s v="No"/>
    <n v="5"/>
    <x v="0"/>
    <s v="No"/>
    <s v="-"/>
    <s v="No"/>
    <n v="0"/>
    <x v="4"/>
    <n v="4"/>
  </r>
  <r>
    <n v="3422"/>
    <s v="Daniela Araújo"/>
    <x v="0"/>
    <x v="190"/>
    <s v="Yes"/>
    <n v="15"/>
    <x v="2"/>
    <s v="Yes"/>
    <n v="30"/>
    <s v="Yes"/>
    <n v="20"/>
    <x v="10"/>
    <n v="58"/>
  </r>
  <r>
    <n v="3423"/>
    <s v="Eduardo Santos"/>
    <x v="2"/>
    <x v="191"/>
    <s v="No"/>
    <n v="10"/>
    <x v="0"/>
    <s v="No"/>
    <s v="-"/>
    <s v="Yes"/>
    <n v="20"/>
    <x v="2"/>
    <n v="20"/>
  </r>
  <r>
    <n v="3424"/>
    <s v="Fernanda Lima"/>
    <x v="1"/>
    <x v="192"/>
    <s v="Yes"/>
    <n v="5"/>
    <x v="1"/>
    <s v="No"/>
    <s v="-"/>
    <s v="No"/>
    <n v="0"/>
    <x v="1"/>
    <n v="5"/>
  </r>
  <r>
    <n v="3425"/>
    <s v="Gabriel Teixeira"/>
    <x v="0"/>
    <x v="193"/>
    <s v="No"/>
    <n v="15"/>
    <x v="0"/>
    <s v="Yes"/>
    <n v="30"/>
    <s v="Yes"/>
    <n v="20"/>
    <x v="7"/>
    <n v="45"/>
  </r>
  <r>
    <n v="3426"/>
    <s v="Helena Ribeiro"/>
    <x v="2"/>
    <x v="194"/>
    <s v="Yes"/>
    <n v="10"/>
    <x v="2"/>
    <s v="No"/>
    <s v="-"/>
    <s v="Yes"/>
    <n v="20"/>
    <x v="6"/>
    <n v="15"/>
  </r>
  <r>
    <n v="3427"/>
    <s v="Igor Mendes"/>
    <x v="1"/>
    <x v="195"/>
    <s v="No"/>
    <n v="5"/>
    <x v="0"/>
    <s v="No"/>
    <s v="-"/>
    <s v="No"/>
    <n v="0"/>
    <x v="4"/>
    <n v="4"/>
  </r>
  <r>
    <n v="3428"/>
    <s v="Joana Silveira"/>
    <x v="0"/>
    <x v="196"/>
    <s v="Yes"/>
    <n v="15"/>
    <x v="1"/>
    <s v="Yes"/>
    <n v="30"/>
    <s v="Yes"/>
    <n v="20"/>
    <x v="3"/>
    <n v="62"/>
  </r>
  <r>
    <n v="3429"/>
    <s v="Lucas Martins"/>
    <x v="2"/>
    <x v="197"/>
    <s v="No"/>
    <n v="10"/>
    <x v="0"/>
    <s v="No"/>
    <s v="-"/>
    <s v="Yes"/>
    <n v="20"/>
    <x v="2"/>
    <n v="20"/>
  </r>
  <r>
    <n v="3430"/>
    <s v="Marcela Gouveia"/>
    <x v="1"/>
    <x v="198"/>
    <s v="Yes"/>
    <n v="5"/>
    <x v="2"/>
    <s v="No"/>
    <s v="-"/>
    <s v="No"/>
    <n v="0"/>
    <x v="1"/>
    <n v="5"/>
  </r>
  <r>
    <n v="3431"/>
    <s v="Nicolas Borges"/>
    <x v="0"/>
    <x v="199"/>
    <s v="No"/>
    <n v="15"/>
    <x v="0"/>
    <s v="Yes"/>
    <n v="30"/>
    <s v="Yes"/>
    <n v="20"/>
    <x v="6"/>
    <n v="50"/>
  </r>
  <r>
    <n v="3432"/>
    <s v="Olivia Freitas"/>
    <x v="2"/>
    <x v="200"/>
    <s v="Yes"/>
    <n v="10"/>
    <x v="1"/>
    <s v="No"/>
    <s v="-"/>
    <s v="Yes"/>
    <n v="20"/>
    <x v="6"/>
    <n v="15"/>
  </r>
  <r>
    <n v="3433"/>
    <s v="Paulo Nogueira"/>
    <x v="1"/>
    <x v="201"/>
    <s v="No"/>
    <n v="5"/>
    <x v="0"/>
    <s v="No"/>
    <s v="-"/>
    <s v="No"/>
    <n v="0"/>
    <x v="4"/>
    <n v="4"/>
  </r>
  <r>
    <n v="3434"/>
    <s v="Raquel Andrade"/>
    <x v="0"/>
    <x v="202"/>
    <s v="Yes"/>
    <n v="15"/>
    <x v="2"/>
    <s v="Yes"/>
    <n v="30"/>
    <s v="Yes"/>
    <n v="20"/>
    <x v="10"/>
    <n v="58"/>
  </r>
  <r>
    <n v="3435"/>
    <s v="Sônia Carvalho"/>
    <x v="2"/>
    <x v="203"/>
    <s v="No"/>
    <n v="10"/>
    <x v="0"/>
    <s v="No"/>
    <s v="-"/>
    <s v="Yes"/>
    <n v="20"/>
    <x v="2"/>
    <n v="20"/>
  </r>
  <r>
    <n v="3436"/>
    <s v="Tiago Rodrigues"/>
    <x v="1"/>
    <x v="204"/>
    <s v="Yes"/>
    <n v="5"/>
    <x v="0"/>
    <s v="No"/>
    <s v="-"/>
    <s v="No"/>
    <n v="0"/>
    <x v="1"/>
    <n v="5"/>
  </r>
  <r>
    <n v="3437"/>
    <s v="Ursula Monteiro"/>
    <x v="0"/>
    <x v="205"/>
    <s v="No"/>
    <n v="15"/>
    <x v="2"/>
    <s v="Yes"/>
    <n v="30"/>
    <s v="Yes"/>
    <n v="20"/>
    <x v="10"/>
    <n v="58"/>
  </r>
  <r>
    <n v="3438"/>
    <s v="Vanessa Pereira"/>
    <x v="2"/>
    <x v="206"/>
    <s v="Yes"/>
    <n v="10"/>
    <x v="1"/>
    <s v="No"/>
    <s v="-"/>
    <s v="Yes"/>
    <n v="20"/>
    <x v="2"/>
    <n v="20"/>
  </r>
  <r>
    <n v="3439"/>
    <s v="Walter Silva"/>
    <x v="1"/>
    <x v="207"/>
    <s v="No"/>
    <n v="5"/>
    <x v="2"/>
    <s v="No"/>
    <s v="-"/>
    <s v="No"/>
    <n v="0"/>
    <x v="4"/>
    <n v="4"/>
  </r>
  <r>
    <n v="3440"/>
    <s v="Xavier Almeida"/>
    <x v="0"/>
    <x v="208"/>
    <s v="Yes"/>
    <n v="15"/>
    <x v="0"/>
    <s v="Yes"/>
    <n v="30"/>
    <s v="Yes"/>
    <n v="20"/>
    <x v="6"/>
    <n v="50"/>
  </r>
  <r>
    <n v="3441"/>
    <s v="Yasmine Correia"/>
    <x v="2"/>
    <x v="209"/>
    <s v="No"/>
    <n v="10"/>
    <x v="0"/>
    <s v="No"/>
    <s v="-"/>
    <s v="Yes"/>
    <n v="20"/>
    <x v="0"/>
    <n v="25"/>
  </r>
  <r>
    <n v="3442"/>
    <s v="Zacarias Almeida"/>
    <x v="1"/>
    <x v="210"/>
    <s v="Yes"/>
    <n v="5"/>
    <x v="1"/>
    <s v="No"/>
    <s v="-"/>
    <s v="No"/>
    <n v="0"/>
    <x v="1"/>
    <n v="5"/>
  </r>
  <r>
    <n v="3443"/>
    <s v="Amanda Costa"/>
    <x v="0"/>
    <x v="211"/>
    <s v="No"/>
    <n v="15"/>
    <x v="2"/>
    <s v="Yes"/>
    <n v="30"/>
    <s v="Yes"/>
    <n v="20"/>
    <x v="7"/>
    <n v="45"/>
  </r>
  <r>
    <n v="3444"/>
    <s v="Bruno Ferreira"/>
    <x v="2"/>
    <x v="212"/>
    <s v="Yes"/>
    <n v="10"/>
    <x v="2"/>
    <s v="No"/>
    <s v="-"/>
    <s v="Yes"/>
    <n v="20"/>
    <x v="9"/>
    <n v="18"/>
  </r>
  <r>
    <n v="3445"/>
    <s v="Carla Dias"/>
    <x v="1"/>
    <x v="213"/>
    <s v="No"/>
    <n v="5"/>
    <x v="0"/>
    <s v="No"/>
    <s v="-"/>
    <s v="No"/>
    <n v="0"/>
    <x v="5"/>
    <n v="3"/>
  </r>
  <r>
    <n v="3446"/>
    <s v="Diogo Martins"/>
    <x v="0"/>
    <x v="214"/>
    <s v="Yes"/>
    <n v="15"/>
    <x v="1"/>
    <s v="Yes"/>
    <n v="30"/>
    <s v="Yes"/>
    <n v="20"/>
    <x v="0"/>
    <n v="60"/>
  </r>
  <r>
    <n v="3447"/>
    <s v="Elisa Campos"/>
    <x v="2"/>
    <x v="215"/>
    <s v="No"/>
    <n v="10"/>
    <x v="0"/>
    <s v="No"/>
    <s v="-"/>
    <s v="Yes"/>
    <n v="20"/>
    <x v="2"/>
    <n v="20"/>
  </r>
  <r>
    <n v="3448"/>
    <s v="Fabiana Lima"/>
    <x v="1"/>
    <x v="216"/>
    <s v="Yes"/>
    <n v="5"/>
    <x v="2"/>
    <s v="No"/>
    <s v="-"/>
    <s v="No"/>
    <n v="0"/>
    <x v="1"/>
    <n v="5"/>
  </r>
  <r>
    <n v="3449"/>
    <s v="Gabriel Santos"/>
    <x v="0"/>
    <x v="217"/>
    <s v="No"/>
    <n v="15"/>
    <x v="0"/>
    <s v="Yes"/>
    <n v="30"/>
    <s v="Yes"/>
    <n v="20"/>
    <x v="3"/>
    <n v="62"/>
  </r>
  <r>
    <n v="3450"/>
    <s v="Helena Ferreira"/>
    <x v="2"/>
    <x v="218"/>
    <s v="Yes"/>
    <n v="10"/>
    <x v="1"/>
    <s v="No"/>
    <s v="-"/>
    <s v="Yes"/>
    <n v="20"/>
    <x v="6"/>
    <n v="15"/>
  </r>
  <r>
    <n v="3451"/>
    <s v="Ígor Nunes"/>
    <x v="1"/>
    <x v="219"/>
    <s v="No"/>
    <n v="5"/>
    <x v="0"/>
    <s v="No"/>
    <s v="-"/>
    <s v="No"/>
    <n v="0"/>
    <x v="4"/>
    <n v="4"/>
  </r>
  <r>
    <n v="3452"/>
    <s v="Joana Silveira"/>
    <x v="0"/>
    <x v="220"/>
    <s v="Yes"/>
    <n v="15"/>
    <x v="2"/>
    <s v="Yes"/>
    <n v="30"/>
    <s v="Yes"/>
    <n v="20"/>
    <x v="10"/>
    <n v="58"/>
  </r>
  <r>
    <n v="3453"/>
    <s v="Kléber Oliveira"/>
    <x v="2"/>
    <x v="221"/>
    <s v="No"/>
    <n v="10"/>
    <x v="0"/>
    <s v="No"/>
    <s v="-"/>
    <s v="Yes"/>
    <n v="20"/>
    <x v="2"/>
    <n v="20"/>
  </r>
  <r>
    <n v="3454"/>
    <s v="Luciana Morais"/>
    <x v="1"/>
    <x v="222"/>
    <s v="Yes"/>
    <n v="5"/>
    <x v="1"/>
    <s v="No"/>
    <s v="-"/>
    <s v="No"/>
    <n v="0"/>
    <x v="1"/>
    <n v="5"/>
  </r>
  <r>
    <n v="3455"/>
    <s v="Marcos Vinícius"/>
    <x v="0"/>
    <x v="223"/>
    <s v="No"/>
    <n v="15"/>
    <x v="0"/>
    <s v="Yes"/>
    <n v="30"/>
    <s v="Yes"/>
    <n v="20"/>
    <x v="7"/>
    <n v="45"/>
  </r>
  <r>
    <n v="3456"/>
    <s v="Natália Barros"/>
    <x v="2"/>
    <x v="224"/>
    <s v="Yes"/>
    <n v="10"/>
    <x v="2"/>
    <s v="No"/>
    <s v="-"/>
    <s v="Yes"/>
    <n v="20"/>
    <x v="6"/>
    <n v="15"/>
  </r>
  <r>
    <n v="3457"/>
    <s v="Oscar Sampaio"/>
    <x v="1"/>
    <x v="225"/>
    <s v="No"/>
    <n v="5"/>
    <x v="0"/>
    <s v="No"/>
    <s v="-"/>
    <s v="No"/>
    <n v="0"/>
    <x v="4"/>
    <n v="4"/>
  </r>
  <r>
    <n v="3458"/>
    <s v="Patrícia Leite"/>
    <x v="0"/>
    <x v="226"/>
    <s v="Yes"/>
    <n v="15"/>
    <x v="1"/>
    <s v="Yes"/>
    <n v="30"/>
    <s v="Yes"/>
    <n v="20"/>
    <x v="3"/>
    <n v="62"/>
  </r>
  <r>
    <n v="3459"/>
    <s v="Quênia Rocha"/>
    <x v="2"/>
    <x v="227"/>
    <s v="No"/>
    <n v="10"/>
    <x v="0"/>
    <s v="No"/>
    <s v="-"/>
    <s v="Yes"/>
    <n v="20"/>
    <x v="2"/>
    <n v="20"/>
  </r>
  <r>
    <n v="3460"/>
    <s v="Rafael Torres"/>
    <x v="1"/>
    <x v="228"/>
    <s v="Yes"/>
    <n v="5"/>
    <x v="2"/>
    <s v="No"/>
    <s v="-"/>
    <s v="No"/>
    <n v="0"/>
    <x v="1"/>
    <n v="5"/>
  </r>
  <r>
    <n v="3461"/>
    <s v="Sandra Gouveia"/>
    <x v="0"/>
    <x v="229"/>
    <s v="No"/>
    <n v="15"/>
    <x v="0"/>
    <s v="Yes"/>
    <n v="30"/>
    <s v="Yes"/>
    <n v="20"/>
    <x v="6"/>
    <n v="50"/>
  </r>
  <r>
    <n v="3462"/>
    <s v="Tiago Lacerda"/>
    <x v="2"/>
    <x v="230"/>
    <s v="Yes"/>
    <n v="10"/>
    <x v="1"/>
    <s v="No"/>
    <s v="-"/>
    <s v="Yes"/>
    <n v="20"/>
    <x v="6"/>
    <n v="15"/>
  </r>
  <r>
    <n v="3463"/>
    <s v="Ursula Fonseca"/>
    <x v="1"/>
    <x v="231"/>
    <s v="No"/>
    <n v="5"/>
    <x v="0"/>
    <s v="No"/>
    <s v="-"/>
    <s v="No"/>
    <n v="0"/>
    <x v="4"/>
    <n v="4"/>
  </r>
  <r>
    <n v="3464"/>
    <s v="Vanessa Andrade"/>
    <x v="0"/>
    <x v="232"/>
    <s v="Yes"/>
    <n v="15"/>
    <x v="2"/>
    <s v="Yes"/>
    <n v="30"/>
    <s v="Yes"/>
    <n v="20"/>
    <x v="10"/>
    <n v="58"/>
  </r>
  <r>
    <n v="3465"/>
    <s v="William Castro"/>
    <x v="2"/>
    <x v="233"/>
    <s v="No"/>
    <n v="10"/>
    <x v="0"/>
    <s v="No"/>
    <s v="-"/>
    <s v="Yes"/>
    <n v="20"/>
    <x v="2"/>
    <n v="20"/>
  </r>
  <r>
    <n v="3466"/>
    <s v="Xavier Monteiro"/>
    <x v="1"/>
    <x v="234"/>
    <s v="Yes"/>
    <n v="5"/>
    <x v="1"/>
    <s v="No"/>
    <s v="-"/>
    <s v="No"/>
    <n v="0"/>
    <x v="1"/>
    <n v="5"/>
  </r>
  <r>
    <n v="3467"/>
    <s v="Yasmin Figueira"/>
    <x v="0"/>
    <x v="235"/>
    <s v="No"/>
    <n v="15"/>
    <x v="0"/>
    <s v="Yes"/>
    <n v="30"/>
    <s v="Yes"/>
    <n v="20"/>
    <x v="6"/>
    <n v="50"/>
  </r>
  <r>
    <n v="3468"/>
    <s v="Zacarias Mendonça"/>
    <x v="2"/>
    <x v="236"/>
    <s v="Yes"/>
    <n v="10"/>
    <x v="2"/>
    <s v="No"/>
    <s v="-"/>
    <s v="Yes"/>
    <n v="20"/>
    <x v="9"/>
    <n v="18"/>
  </r>
  <r>
    <n v="3469"/>
    <s v="Amanda Menezes"/>
    <x v="1"/>
    <x v="237"/>
    <s v="No"/>
    <n v="5"/>
    <x v="0"/>
    <s v="No"/>
    <s v="-"/>
    <s v="No"/>
    <n v="0"/>
    <x v="5"/>
    <n v="3"/>
  </r>
  <r>
    <n v="3470"/>
    <s v="Bruno Santos"/>
    <x v="0"/>
    <x v="238"/>
    <s v="Yes"/>
    <n v="15"/>
    <x v="1"/>
    <s v="Yes"/>
    <n v="30"/>
    <s v="Yes"/>
    <n v="20"/>
    <x v="0"/>
    <n v="60"/>
  </r>
  <r>
    <n v="3471"/>
    <s v="Carla Ferreira"/>
    <x v="2"/>
    <x v="239"/>
    <s v="No"/>
    <n v="10"/>
    <x v="0"/>
    <s v="No"/>
    <s v="-"/>
    <s v="Yes"/>
    <n v="20"/>
    <x v="2"/>
    <n v="20"/>
  </r>
  <r>
    <n v="3472"/>
    <s v="Diogo Alves"/>
    <x v="1"/>
    <x v="240"/>
    <s v="Yes"/>
    <n v="5"/>
    <x v="2"/>
    <s v="No"/>
    <s v="-"/>
    <s v="No"/>
    <n v="0"/>
    <x v="1"/>
    <n v="5"/>
  </r>
  <r>
    <n v="3473"/>
    <s v="Elisa Neves"/>
    <x v="0"/>
    <x v="241"/>
    <s v="No"/>
    <n v="15"/>
    <x v="0"/>
    <s v="Yes"/>
    <n v="30"/>
    <s v="Yes"/>
    <n v="20"/>
    <x v="3"/>
    <n v="62"/>
  </r>
  <r>
    <n v="3474"/>
    <s v="Fabiano Pires"/>
    <x v="2"/>
    <x v="242"/>
    <s v="Yes"/>
    <n v="10"/>
    <x v="1"/>
    <s v="No"/>
    <s v="-"/>
    <s v="Yes"/>
    <n v="20"/>
    <x v="6"/>
    <n v="15"/>
  </r>
  <r>
    <n v="3475"/>
    <s v="Giovana Ribeiro"/>
    <x v="1"/>
    <x v="243"/>
    <s v="No"/>
    <n v="5"/>
    <x v="0"/>
    <s v="No"/>
    <s v="-"/>
    <s v="No"/>
    <n v="0"/>
    <x v="4"/>
    <n v="4"/>
  </r>
  <r>
    <n v="3476"/>
    <s v="Hélio Costa"/>
    <x v="0"/>
    <x v="244"/>
    <s v="Yes"/>
    <n v="15"/>
    <x v="2"/>
    <s v="Yes"/>
    <n v="30"/>
    <s v="Yes"/>
    <n v="20"/>
    <x v="10"/>
    <n v="58"/>
  </r>
  <r>
    <n v="3477"/>
    <s v="Íris Loureiro"/>
    <x v="2"/>
    <x v="245"/>
    <s v="No"/>
    <n v="10"/>
    <x v="0"/>
    <s v="No"/>
    <s v="-"/>
    <s v="Yes"/>
    <n v="20"/>
    <x v="2"/>
    <n v="20"/>
  </r>
  <r>
    <n v="3478"/>
    <s v="João Pereira"/>
    <x v="1"/>
    <x v="246"/>
    <s v="Yes"/>
    <n v="5"/>
    <x v="1"/>
    <s v="No"/>
    <s v="-"/>
    <s v="No"/>
    <n v="0"/>
    <x v="1"/>
    <n v="5"/>
  </r>
  <r>
    <n v="3479"/>
    <s v="Klara Silva"/>
    <x v="0"/>
    <x v="247"/>
    <s v="No"/>
    <n v="15"/>
    <x v="0"/>
    <s v="Yes"/>
    <n v="30"/>
    <s v="Yes"/>
    <n v="20"/>
    <x v="7"/>
    <n v="45"/>
  </r>
  <r>
    <n v="3480"/>
    <s v="Luciana Barros"/>
    <x v="2"/>
    <x v="248"/>
    <s v="Yes"/>
    <n v="10"/>
    <x v="2"/>
    <s v="No"/>
    <s v="-"/>
    <s v="Yes"/>
    <n v="20"/>
    <x v="6"/>
    <n v="15"/>
  </r>
  <r>
    <n v="3481"/>
    <s v="Marcos Gomes"/>
    <x v="1"/>
    <x v="249"/>
    <s v="No"/>
    <n v="5"/>
    <x v="0"/>
    <s v="No"/>
    <s v="-"/>
    <s v="No"/>
    <n v="0"/>
    <x v="4"/>
    <n v="4"/>
  </r>
  <r>
    <n v="3482"/>
    <s v="Natália Soares"/>
    <x v="0"/>
    <x v="250"/>
    <s v="Yes"/>
    <n v="15"/>
    <x v="1"/>
    <s v="Yes"/>
    <n v="30"/>
    <s v="Yes"/>
    <n v="20"/>
    <x v="3"/>
    <n v="62"/>
  </r>
  <r>
    <n v="3483"/>
    <s v="Oscar Machado"/>
    <x v="2"/>
    <x v="251"/>
    <s v="No"/>
    <n v="10"/>
    <x v="0"/>
    <s v="No"/>
    <s v="-"/>
    <s v="Yes"/>
    <n v="20"/>
    <x v="2"/>
    <n v="20"/>
  </r>
  <r>
    <n v="3484"/>
    <s v="Patrícia Lima"/>
    <x v="1"/>
    <x v="252"/>
    <s v="Yes"/>
    <n v="5"/>
    <x v="2"/>
    <s v="No"/>
    <s v="-"/>
    <s v="No"/>
    <n v="0"/>
    <x v="1"/>
    <n v="5"/>
  </r>
  <r>
    <n v="3485"/>
    <s v="Quirino Neto"/>
    <x v="0"/>
    <x v="253"/>
    <s v="No"/>
    <n v="15"/>
    <x v="0"/>
    <s v="Yes"/>
    <n v="30"/>
    <s v="Yes"/>
    <n v="20"/>
    <x v="6"/>
    <n v="50"/>
  </r>
  <r>
    <n v="3486"/>
    <s v="Rafaela Souza"/>
    <x v="1"/>
    <x v="254"/>
    <s v="Yes"/>
    <n v="5"/>
    <x v="0"/>
    <s v="No"/>
    <s v="-"/>
    <s v="No"/>
    <n v="0"/>
    <x v="1"/>
    <n v="5"/>
  </r>
  <r>
    <n v="3487"/>
    <s v="Sandro Almeida"/>
    <x v="0"/>
    <x v="255"/>
    <s v="No"/>
    <n v="15"/>
    <x v="2"/>
    <s v="Yes"/>
    <n v="30"/>
    <s v="Yes"/>
    <n v="20"/>
    <x v="10"/>
    <n v="58"/>
  </r>
  <r>
    <n v="3488"/>
    <s v="Tânia Ribeiro"/>
    <x v="2"/>
    <x v="256"/>
    <s v="Yes"/>
    <n v="10"/>
    <x v="1"/>
    <s v="No"/>
    <s v="-"/>
    <s v="Yes"/>
    <n v="20"/>
    <x v="2"/>
    <n v="20"/>
  </r>
  <r>
    <n v="3489"/>
    <s v="Ugo Dias"/>
    <x v="1"/>
    <x v="257"/>
    <s v="No"/>
    <n v="5"/>
    <x v="2"/>
    <s v="No"/>
    <s v="-"/>
    <s v="No"/>
    <n v="0"/>
    <x v="4"/>
    <n v="4"/>
  </r>
  <r>
    <n v="3490"/>
    <s v="Valéria Lima"/>
    <x v="0"/>
    <x v="258"/>
    <s v="Yes"/>
    <n v="15"/>
    <x v="0"/>
    <s v="Yes"/>
    <n v="30"/>
    <s v="Yes"/>
    <n v="20"/>
    <x v="6"/>
    <n v="50"/>
  </r>
  <r>
    <n v="3491"/>
    <s v="William Fernandes"/>
    <x v="2"/>
    <x v="259"/>
    <s v="No"/>
    <n v="10"/>
    <x v="0"/>
    <s v="No"/>
    <s v="-"/>
    <s v="Yes"/>
    <n v="20"/>
    <x v="0"/>
    <n v="25"/>
  </r>
  <r>
    <n v="3492"/>
    <s v="Xuxa Mendes"/>
    <x v="1"/>
    <x v="260"/>
    <s v="Yes"/>
    <n v="5"/>
    <x v="1"/>
    <s v="No"/>
    <s v="-"/>
    <s v="No"/>
    <n v="0"/>
    <x v="1"/>
    <n v="5"/>
  </r>
  <r>
    <n v="3493"/>
    <s v="Ygor Farias"/>
    <x v="0"/>
    <x v="261"/>
    <s v="No"/>
    <n v="15"/>
    <x v="2"/>
    <s v="Yes"/>
    <n v="30"/>
    <s v="Yes"/>
    <n v="20"/>
    <x v="7"/>
    <n v="45"/>
  </r>
  <r>
    <n v="3494"/>
    <s v="Zilda Barros"/>
    <x v="2"/>
    <x v="262"/>
    <s v="Yes"/>
    <n v="10"/>
    <x v="2"/>
    <s v="No"/>
    <s v="-"/>
    <s v="Yes"/>
    <n v="20"/>
    <x v="9"/>
    <n v="18"/>
  </r>
  <r>
    <n v="3495"/>
    <s v="Amanda Santos"/>
    <x v="1"/>
    <x v="263"/>
    <s v="No"/>
    <n v="5"/>
    <x v="0"/>
    <s v="No"/>
    <s v="-"/>
    <s v="No"/>
    <n v="0"/>
    <x v="5"/>
    <n v="3"/>
  </r>
  <r>
    <n v="3496"/>
    <s v="Bruno Costa"/>
    <x v="0"/>
    <x v="264"/>
    <s v="Yes"/>
    <n v="15"/>
    <x v="1"/>
    <s v="Yes"/>
    <n v="30"/>
    <s v="Yes"/>
    <n v="20"/>
    <x v="0"/>
    <n v="60"/>
  </r>
  <r>
    <n v="3497"/>
    <s v="Carla Rodrigues"/>
    <x v="2"/>
    <x v="265"/>
    <s v="No"/>
    <n v="10"/>
    <x v="0"/>
    <s v="No"/>
    <s v="-"/>
    <s v="Yes"/>
    <n v="20"/>
    <x v="2"/>
    <n v="20"/>
  </r>
  <r>
    <n v="3498"/>
    <s v="Diogo Pereira"/>
    <x v="1"/>
    <x v="266"/>
    <s v="Yes"/>
    <n v="5"/>
    <x v="2"/>
    <s v="No"/>
    <s v="-"/>
    <s v="No"/>
    <n v="0"/>
    <x v="1"/>
    <n v="5"/>
  </r>
  <r>
    <n v="3499"/>
    <s v="Elisa Correia"/>
    <x v="0"/>
    <x v="267"/>
    <s v="No"/>
    <n v="15"/>
    <x v="0"/>
    <s v="Yes"/>
    <n v="30"/>
    <s v="Yes"/>
    <n v="20"/>
    <x v="3"/>
    <n v="62"/>
  </r>
  <r>
    <n v="3500"/>
    <s v="Fábio Lourenço"/>
    <x v="2"/>
    <x v="268"/>
    <s v="Yes"/>
    <n v="10"/>
    <x v="1"/>
    <s v="No"/>
    <s v="-"/>
    <s v="Yes"/>
    <n v="20"/>
    <x v="6"/>
    <n v="15"/>
  </r>
  <r>
    <n v="3501"/>
    <s v="Gabriela Neves"/>
    <x v="1"/>
    <x v="269"/>
    <s v="No"/>
    <n v="5"/>
    <x v="0"/>
    <s v="No"/>
    <s v="-"/>
    <s v="No"/>
    <n v="0"/>
    <x v="4"/>
    <n v="4"/>
  </r>
  <r>
    <n v="3502"/>
    <s v="Henrique Gonçalves"/>
    <x v="0"/>
    <x v="270"/>
    <s v="Yes"/>
    <n v="15"/>
    <x v="2"/>
    <s v="Yes"/>
    <n v="30"/>
    <s v="Yes"/>
    <n v="20"/>
    <x v="10"/>
    <n v="58"/>
  </r>
  <r>
    <n v="3503"/>
    <s v="Íris Santos"/>
    <x v="2"/>
    <x v="271"/>
    <s v="No"/>
    <n v="10"/>
    <x v="0"/>
    <s v="No"/>
    <s v="-"/>
    <s v="Yes"/>
    <n v="20"/>
    <x v="2"/>
    <n v="20"/>
  </r>
  <r>
    <n v="3504"/>
    <s v="João Marcelo Alves"/>
    <x v="1"/>
    <x v="272"/>
    <s v="Yes"/>
    <n v="5"/>
    <x v="1"/>
    <s v="No"/>
    <s v="-"/>
    <s v="No"/>
    <n v="0"/>
    <x v="1"/>
    <n v="5"/>
  </r>
  <r>
    <n v="3505"/>
    <s v="Klara Fonseca"/>
    <x v="0"/>
    <x v="273"/>
    <s v="No"/>
    <n v="15"/>
    <x v="0"/>
    <s v="Yes"/>
    <n v="30"/>
    <s v="Yes"/>
    <n v="20"/>
    <x v="7"/>
    <n v="45"/>
  </r>
  <r>
    <n v="3506"/>
    <s v="Lucas Mendonça"/>
    <x v="2"/>
    <x v="274"/>
    <s v="Yes"/>
    <n v="10"/>
    <x v="2"/>
    <s v="No"/>
    <s v="-"/>
    <s v="Yes"/>
    <n v="20"/>
    <x v="6"/>
    <n v="15"/>
  </r>
  <r>
    <n v="3507"/>
    <s v="Marcela Torres"/>
    <x v="1"/>
    <x v="275"/>
    <s v="No"/>
    <n v="5"/>
    <x v="0"/>
    <s v="No"/>
    <s v="-"/>
    <s v="No"/>
    <n v="0"/>
    <x v="4"/>
    <n v="4"/>
  </r>
  <r>
    <n v="3508"/>
    <s v="Natália Castro"/>
    <x v="0"/>
    <x v="276"/>
    <s v="Yes"/>
    <n v="15"/>
    <x v="1"/>
    <s v="Yes"/>
    <n v="30"/>
    <s v="Yes"/>
    <n v="20"/>
    <x v="3"/>
    <n v="62"/>
  </r>
  <r>
    <n v="3509"/>
    <s v="Oscar Martins"/>
    <x v="2"/>
    <x v="277"/>
    <s v="No"/>
    <n v="10"/>
    <x v="0"/>
    <s v="No"/>
    <s v="-"/>
    <s v="Yes"/>
    <n v="20"/>
    <x v="2"/>
    <n v="20"/>
  </r>
  <r>
    <n v="3510"/>
    <s v="Patrícia Oliveira"/>
    <x v="1"/>
    <x v="278"/>
    <s v="Yes"/>
    <n v="5"/>
    <x v="2"/>
    <s v="No"/>
    <s v="-"/>
    <s v="No"/>
    <n v="0"/>
    <x v="1"/>
    <n v="5"/>
  </r>
  <r>
    <n v="3511"/>
    <s v="Quentin Nogueira"/>
    <x v="0"/>
    <x v="279"/>
    <s v="No"/>
    <n v="15"/>
    <x v="0"/>
    <s v="Yes"/>
    <n v="30"/>
    <s v="Yes"/>
    <n v="20"/>
    <x v="6"/>
    <n v="50"/>
  </r>
  <r>
    <n v="3512"/>
    <s v="Raquel Silva"/>
    <x v="2"/>
    <x v="280"/>
    <s v="Yes"/>
    <n v="10"/>
    <x v="1"/>
    <s v="No"/>
    <s v="-"/>
    <s v="Yes"/>
    <n v="20"/>
    <x v="6"/>
    <n v="15"/>
  </r>
  <r>
    <n v="3513"/>
    <s v="Sandro Gomes"/>
    <x v="1"/>
    <x v="281"/>
    <s v="No"/>
    <n v="5"/>
    <x v="0"/>
    <s v="No"/>
    <s v="-"/>
    <s v="No"/>
    <n v="0"/>
    <x v="4"/>
    <n v="4"/>
  </r>
  <r>
    <n v="3514"/>
    <s v="Tânia Machado"/>
    <x v="0"/>
    <x v="282"/>
    <s v="Yes"/>
    <n v="15"/>
    <x v="2"/>
    <s v="Yes"/>
    <n v="30"/>
    <s v="Yes"/>
    <n v="20"/>
    <x v="10"/>
    <n v="58"/>
  </r>
  <r>
    <n v="3515"/>
    <s v="Ursula Silva"/>
    <x v="2"/>
    <x v="283"/>
    <s v="No"/>
    <n v="10"/>
    <x v="0"/>
    <s v="No"/>
    <s v="-"/>
    <s v="Yes"/>
    <n v="20"/>
    <x v="2"/>
    <n v="20"/>
  </r>
  <r>
    <n v="3516"/>
    <s v="Vanessa Moraes"/>
    <x v="1"/>
    <x v="284"/>
    <s v="Yes"/>
    <n v="5"/>
    <x v="1"/>
    <s v="No"/>
    <s v="-"/>
    <s v="No"/>
    <n v="0"/>
    <x v="1"/>
    <n v="5"/>
  </r>
  <r>
    <n v="3517"/>
    <s v="William Carvalho"/>
    <x v="0"/>
    <x v="285"/>
    <s v="No"/>
    <n v="15"/>
    <x v="0"/>
    <s v="Yes"/>
    <n v="30"/>
    <s v="Yes"/>
    <n v="20"/>
    <x v="7"/>
    <n v="45"/>
  </r>
  <r>
    <n v="3518"/>
    <s v="Xavier Reis"/>
    <x v="2"/>
    <x v="286"/>
    <s v="Yes"/>
    <n v="10"/>
    <x v="2"/>
    <s v="No"/>
    <s v="-"/>
    <s v="Yes"/>
    <n v="20"/>
    <x v="9"/>
    <n v="18"/>
  </r>
  <r>
    <n v="3519"/>
    <s v="Yasmin Rocha"/>
    <x v="1"/>
    <x v="287"/>
    <s v="No"/>
    <n v="5"/>
    <x v="0"/>
    <s v="No"/>
    <s v="-"/>
    <s v="No"/>
    <n v="0"/>
    <x v="5"/>
    <n v="3"/>
  </r>
  <r>
    <n v="3520"/>
    <s v="Zacarias Duarte"/>
    <x v="0"/>
    <x v="288"/>
    <s v="Yes"/>
    <n v="15"/>
    <x v="1"/>
    <s v="Yes"/>
    <n v="30"/>
    <s v="Yes"/>
    <n v="20"/>
    <x v="0"/>
    <n v="60"/>
  </r>
  <r>
    <n v="3521"/>
    <s v="Amanda Freitas"/>
    <x v="2"/>
    <x v="289"/>
    <s v="No"/>
    <n v="10"/>
    <x v="0"/>
    <s v="No"/>
    <s v="-"/>
    <s v="Yes"/>
    <n v="20"/>
    <x v="2"/>
    <n v="20"/>
  </r>
  <r>
    <n v="3522"/>
    <s v="Bruno Almeida"/>
    <x v="1"/>
    <x v="290"/>
    <s v="Yes"/>
    <n v="5"/>
    <x v="2"/>
    <s v="No"/>
    <s v="-"/>
    <s v="No"/>
    <n v="0"/>
    <x v="1"/>
    <n v="5"/>
  </r>
  <r>
    <n v="3523"/>
    <s v="Carla Siqueira"/>
    <x v="0"/>
    <x v="291"/>
    <s v="No"/>
    <n v="15"/>
    <x v="0"/>
    <s v="Yes"/>
    <n v="30"/>
    <s v="Yes"/>
    <n v="20"/>
    <x v="3"/>
    <n v="62"/>
  </r>
  <r>
    <n v="3524"/>
    <s v="Diogo Ramos"/>
    <x v="2"/>
    <x v="292"/>
    <s v="Yes"/>
    <n v="10"/>
    <x v="1"/>
    <s v="No"/>
    <s v="-"/>
    <s v="Yes"/>
    <n v="20"/>
    <x v="6"/>
    <n v="15"/>
  </r>
  <r>
    <n v="3525"/>
    <s v="Elisa Magalhães"/>
    <x v="1"/>
    <x v="293"/>
    <s v="No"/>
    <n v="5"/>
    <x v="0"/>
    <s v="No"/>
    <s v="-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A9963-2890-4437-93C3-95BA471FD7DD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38:D46" firstHeaderRow="1" firstDataRow="1" firstDataCol="1" rowPageCount="2" colPageCount="1"/>
  <pivotFields count="13"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dataField="1" showAll="0"/>
  </pivotFields>
  <rowFields count="1">
    <field x="11"/>
  </rowFields>
  <rowItems count="8"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ageFields count="2">
    <pageField fld="2" item="2" hier="-1"/>
    <pageField fld="6" hier="-1"/>
  </pageFields>
  <dataFields count="1">
    <dataField name="Contagem de Total Value" fld="12" subtotal="count" baseField="11" baseItem="0"/>
  </dataFields>
  <formats count="1">
    <format dxfId="4">
      <pivotArea dataOnly="0" labelOnly="1" fieldPosition="0">
        <references count="1">
          <reference field="11" count="0"/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A08A6-4D93-4F8F-91E0-A4B6F1310C4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30:D33" firstHeaderRow="1" firstDataRow="1" firstDataCol="1" rowPageCount="2" colPageCount="1"/>
  <pivotFields count="13"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2" item="2" hier="-1"/>
    <pageField fld="6" hier="-1"/>
  </pageFields>
  <dataFields count="1">
    <dataField name="Soma de Total Val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EF4E5-05F7-4810-985F-44B62733949A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F38:G46" firstHeaderRow="1" firstDataRow="1" firstDataCol="1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Row"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ageFields count="2">
    <pageField fld="2" item="2" hier="-1"/>
    <pageField fld="6" hier="-1"/>
  </pageFields>
  <dataFields count="1">
    <dataField name="Soma de Coupon Value" fld="11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D1C707E-970C-4879-AB59-6DDF80DD82A1}" sourceName="Subscription Type">
  <pivotTables>
    <pivotTable tabId="3" name="Tabela dinâmica9"/>
  </pivotTables>
  <data>
    <tabular pivotCacheId="1296811203">
      <items count="4">
        <i x="1"/>
        <i x="0" s="1"/>
        <i x="2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8BACEBA3-75FA-4C47-B41E-2A6D787F9A2B}" sourceName="Subscription Type">
  <pivotTables>
    <pivotTable tabId="3" name="Tabela dinâmica10"/>
  </pivotTables>
  <data>
    <tabular pivotCacheId="1296811203">
      <items count="4">
        <i x="1" s="1"/>
        <i x="0" s="1"/>
        <i x="2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2" xr10:uid="{4108F066-1586-4967-AAE7-3C6175B2B6B5}" sourceName="Subscription Type">
  <pivotTables>
    <pivotTable tabId="3" name="Tabela dinâmica11"/>
  </pivotTables>
  <data>
    <tabular pivotCacheId="206227028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D6B8BC7-2DB5-4AE2-BE14-1A960C7188F2}" cache="SegmentaçãodeDados_Subscription_Type" caption="Subscription Typ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03BF980-711E-4427-B318-02338392EFBB}" cache="SegmentaçãodeDados_Subscription_Type" caption="Modalidades" style="Botões" rowHeight="247650"/>
  <slicer name="Subscription Type 2" xr10:uid="{5E618CBE-65FA-4209-8AF9-C0DF1197394F}" cache="SegmentaçãodeDados_Subscription_Type1" caption="Contagem" columnCount="4" style="Botões" rowHeight="247650"/>
  <slicer name="Subscription Type 3" xr10:uid="{A8933592-ACDB-4D9B-8FFB-48A378524ADA}" cache="SegmentaçãodeDados_Subscription_Type2" caption="Soma do valor dos cupons aplicados às assinaturas" columnCount="3" style="Botõe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/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C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91" sqref="L9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1:V53"/>
  <sheetViews>
    <sheetView showGridLines="0" topLeftCell="A23" zoomScale="99" zoomScaleNormal="99" workbookViewId="0">
      <selection activeCell="C39" sqref="C39"/>
    </sheetView>
  </sheetViews>
  <sheetFormatPr defaultRowHeight="14.4" x14ac:dyDescent="0.3"/>
  <cols>
    <col min="3" max="3" width="17" bestFit="1" customWidth="1"/>
    <col min="4" max="4" width="21.88671875" bestFit="1" customWidth="1"/>
    <col min="5" max="5" width="10.6640625" bestFit="1" customWidth="1"/>
    <col min="6" max="6" width="17" bestFit="1" customWidth="1"/>
    <col min="7" max="7" width="20.33203125" bestFit="1" customWidth="1"/>
    <col min="8" max="8" width="18.109375" bestFit="1" customWidth="1"/>
    <col min="9" max="297" width="10.33203125" bestFit="1" customWidth="1"/>
    <col min="298" max="298" width="10" bestFit="1" customWidth="1"/>
  </cols>
  <sheetData>
    <row r="21" spans="3:7" ht="21" x14ac:dyDescent="0.4">
      <c r="C21" s="19" t="s">
        <v>313</v>
      </c>
    </row>
    <row r="22" spans="3:7" ht="21" x14ac:dyDescent="0.4">
      <c r="C22" s="19" t="s">
        <v>338</v>
      </c>
    </row>
    <row r="23" spans="3:7" ht="21" x14ac:dyDescent="0.4">
      <c r="C23" s="19" t="s">
        <v>343</v>
      </c>
    </row>
    <row r="24" spans="3:7" ht="21" x14ac:dyDescent="0.4">
      <c r="C24" s="19" t="s">
        <v>339</v>
      </c>
    </row>
    <row r="27" spans="3:7" x14ac:dyDescent="0.3">
      <c r="C27" s="15" t="s">
        <v>13</v>
      </c>
      <c r="D27" t="s">
        <v>25</v>
      </c>
      <c r="G27" s="22" t="s">
        <v>344</v>
      </c>
    </row>
    <row r="28" spans="3:7" x14ac:dyDescent="0.3">
      <c r="C28" s="15" t="s">
        <v>17</v>
      </c>
      <c r="D28" t="s">
        <v>27</v>
      </c>
      <c r="G28" s="21">
        <f>MIN(Tabela1[Start Date])</f>
        <v>45292</v>
      </c>
    </row>
    <row r="29" spans="3:7" x14ac:dyDescent="0.3">
      <c r="G29" s="21">
        <f>MAX(Tabela1[Start Date])</f>
        <v>45642</v>
      </c>
    </row>
    <row r="30" spans="3:7" x14ac:dyDescent="0.3">
      <c r="C30" s="15" t="s">
        <v>326</v>
      </c>
      <c r="D30" t="s">
        <v>328</v>
      </c>
    </row>
    <row r="31" spans="3:7" x14ac:dyDescent="0.3">
      <c r="C31" s="18" t="s">
        <v>30</v>
      </c>
      <c r="D31" s="29">
        <v>1836</v>
      </c>
    </row>
    <row r="32" spans="3:7" x14ac:dyDescent="0.3">
      <c r="C32" s="18" t="s">
        <v>26</v>
      </c>
      <c r="D32" s="29">
        <v>585</v>
      </c>
    </row>
    <row r="33" spans="3:7" x14ac:dyDescent="0.3">
      <c r="C33" s="18" t="s">
        <v>327</v>
      </c>
      <c r="D33" s="29">
        <v>2421</v>
      </c>
    </row>
    <row r="35" spans="3:7" x14ac:dyDescent="0.3">
      <c r="C35" s="15" t="s">
        <v>13</v>
      </c>
      <c r="D35" t="s">
        <v>25</v>
      </c>
      <c r="F35" s="15" t="s">
        <v>13</v>
      </c>
      <c r="G35" t="s">
        <v>25</v>
      </c>
    </row>
    <row r="36" spans="3:7" x14ac:dyDescent="0.3">
      <c r="C36" s="15" t="s">
        <v>17</v>
      </c>
      <c r="D36" t="s">
        <v>329</v>
      </c>
      <c r="F36" s="15" t="s">
        <v>17</v>
      </c>
      <c r="G36" t="s">
        <v>329</v>
      </c>
    </row>
    <row r="38" spans="3:7" x14ac:dyDescent="0.3">
      <c r="C38" s="15" t="s">
        <v>326</v>
      </c>
      <c r="D38" t="s">
        <v>331</v>
      </c>
      <c r="F38" s="15" t="s">
        <v>326</v>
      </c>
      <c r="G38" t="s">
        <v>333</v>
      </c>
    </row>
    <row r="39" spans="3:7" x14ac:dyDescent="0.3">
      <c r="C39" s="16">
        <v>3</v>
      </c>
      <c r="D39" s="29">
        <v>21</v>
      </c>
      <c r="F39" s="16">
        <v>3</v>
      </c>
      <c r="G39" s="17">
        <v>63</v>
      </c>
    </row>
    <row r="40" spans="3:7" x14ac:dyDescent="0.3">
      <c r="C40" s="16">
        <v>5</v>
      </c>
      <c r="D40" s="29">
        <v>15</v>
      </c>
      <c r="F40" s="16">
        <v>5</v>
      </c>
      <c r="G40" s="17">
        <v>75</v>
      </c>
    </row>
    <row r="41" spans="3:7" x14ac:dyDescent="0.3">
      <c r="C41" s="16">
        <v>7</v>
      </c>
      <c r="D41" s="29">
        <v>23</v>
      </c>
      <c r="F41" s="16">
        <v>7</v>
      </c>
      <c r="G41" s="17">
        <v>161</v>
      </c>
    </row>
    <row r="42" spans="3:7" x14ac:dyDescent="0.3">
      <c r="C42" s="16">
        <v>8</v>
      </c>
      <c r="D42" s="29">
        <v>1</v>
      </c>
      <c r="F42" s="16">
        <v>8</v>
      </c>
      <c r="G42" s="17">
        <v>8</v>
      </c>
    </row>
    <row r="43" spans="3:7" x14ac:dyDescent="0.3">
      <c r="C43" s="16">
        <v>10</v>
      </c>
      <c r="D43" s="29">
        <v>1</v>
      </c>
      <c r="F43" s="16">
        <v>10</v>
      </c>
      <c r="G43" s="17">
        <v>10</v>
      </c>
    </row>
    <row r="44" spans="3:7" x14ac:dyDescent="0.3">
      <c r="C44" s="16">
        <v>15</v>
      </c>
      <c r="D44" s="29">
        <v>15</v>
      </c>
      <c r="F44" s="16">
        <v>15</v>
      </c>
      <c r="G44" s="17">
        <v>225</v>
      </c>
    </row>
    <row r="45" spans="3:7" x14ac:dyDescent="0.3">
      <c r="C45" s="16">
        <v>20</v>
      </c>
      <c r="D45" s="29">
        <v>22</v>
      </c>
      <c r="F45" s="16">
        <v>20</v>
      </c>
      <c r="G45" s="17">
        <v>440</v>
      </c>
    </row>
    <row r="46" spans="3:7" x14ac:dyDescent="0.3">
      <c r="C46" s="18" t="s">
        <v>327</v>
      </c>
      <c r="D46" s="29">
        <v>98</v>
      </c>
      <c r="F46" s="16" t="s">
        <v>327</v>
      </c>
      <c r="G46" s="17">
        <v>982</v>
      </c>
    </row>
    <row r="49" spans="3:22" x14ac:dyDescent="0.3">
      <c r="C49" t="s">
        <v>342</v>
      </c>
      <c r="E49" s="23">
        <v>5388</v>
      </c>
    </row>
    <row r="51" spans="3:22" x14ac:dyDescent="0.3">
      <c r="C51">
        <f>GETPIVOTDATA("Total Value",$C$30)</f>
        <v>2421</v>
      </c>
      <c r="M51" s="25" t="s">
        <v>341</v>
      </c>
      <c r="N51" s="25"/>
      <c r="O51" s="25"/>
      <c r="P51" s="25"/>
      <c r="Q51" s="25"/>
      <c r="R51" s="25"/>
      <c r="S51" s="25"/>
      <c r="T51" s="25"/>
      <c r="U51" s="25"/>
      <c r="V51" s="25"/>
    </row>
    <row r="52" spans="3:22" x14ac:dyDescent="0.3"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3:22" x14ac:dyDescent="0.3">
      <c r="C53" t="s">
        <v>340</v>
      </c>
    </row>
  </sheetData>
  <mergeCells count="1">
    <mergeCell ref="M51:V52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1:QO38"/>
  <sheetViews>
    <sheetView showGridLines="0" tabSelected="1" zoomScale="76" zoomScaleNormal="76" workbookViewId="0">
      <selection activeCell="ON14" sqref="ON14"/>
    </sheetView>
  </sheetViews>
  <sheetFormatPr defaultRowHeight="14.4" x14ac:dyDescent="0.3"/>
  <cols>
    <col min="1" max="1" width="13.44140625" style="24" customWidth="1"/>
    <col min="2" max="2" width="3.5546875" customWidth="1"/>
    <col min="12" max="12" width="6.5546875" customWidth="1"/>
    <col min="16" max="16" width="6.6640625" customWidth="1"/>
    <col min="17" max="401" width="0" hidden="1" customWidth="1"/>
    <col min="402" max="402" width="2.44140625" customWidth="1"/>
    <col min="403" max="457" width="8.88671875" style="24"/>
    <col min="16372" max="16372" width="0" hidden="1" customWidth="1"/>
  </cols>
  <sheetData>
    <row r="1" spans="1:457" s="3" customFormat="1" ht="58.2" customHeight="1" x14ac:dyDescent="0.3"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</row>
    <row r="2" spans="1:457" s="20" customFormat="1" ht="39" customHeight="1" x14ac:dyDescent="0.3">
      <c r="A2" s="3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</row>
    <row r="3" spans="1:457" s="20" customFormat="1" ht="8.25" customHeight="1" x14ac:dyDescent="0.3">
      <c r="A3" s="3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</row>
    <row r="4" spans="1:457" s="20" customFormat="1" ht="7.5" customHeight="1" x14ac:dyDescent="0.3">
      <c r="A4" s="3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</row>
    <row r="5" spans="1:457" s="20" customFormat="1" ht="10.5" customHeight="1" x14ac:dyDescent="0.3">
      <c r="A5" s="3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</row>
    <row r="6" spans="1:457" s="20" customFormat="1" ht="9.75" customHeight="1" x14ac:dyDescent="0.3">
      <c r="A6" s="3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</row>
    <row r="7" spans="1:457" s="20" customFormat="1" ht="33" customHeight="1" x14ac:dyDescent="0.3">
      <c r="A7" s="3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</row>
    <row r="8" spans="1:457" s="20" customFormat="1" x14ac:dyDescent="0.3">
      <c r="A8" s="3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</row>
    <row r="9" spans="1:457" s="20" customFormat="1" x14ac:dyDescent="0.3">
      <c r="A9" s="3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</row>
    <row r="10" spans="1:457" s="20" customFormat="1" x14ac:dyDescent="0.3">
      <c r="A10" s="3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</row>
    <row r="11" spans="1:457" s="20" customFormat="1" x14ac:dyDescent="0.3">
      <c r="A11" s="3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</row>
    <row r="12" spans="1:457" s="20" customFormat="1" x14ac:dyDescent="0.3">
      <c r="A12" s="3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</row>
    <row r="13" spans="1:457" s="20" customFormat="1" x14ac:dyDescent="0.3">
      <c r="A13" s="3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</row>
    <row r="14" spans="1:457" s="20" customFormat="1" x14ac:dyDescent="0.3">
      <c r="A14" s="3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</row>
    <row r="15" spans="1:457" s="20" customFormat="1" x14ac:dyDescent="0.3">
      <c r="A15" s="3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</row>
    <row r="16" spans="1:457" s="20" customFormat="1" x14ac:dyDescent="0.3">
      <c r="A16" s="3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</row>
    <row r="17" spans="1:457" s="20" customFormat="1" x14ac:dyDescent="0.3">
      <c r="A17" s="3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</row>
    <row r="18" spans="1:457" s="20" customFormat="1" x14ac:dyDescent="0.3">
      <c r="A18" s="3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</row>
    <row r="19" spans="1:457" s="20" customFormat="1" x14ac:dyDescent="0.3">
      <c r="A19" s="3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</row>
    <row r="20" spans="1:457" s="20" customFormat="1" x14ac:dyDescent="0.3">
      <c r="A20" s="3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</row>
    <row r="21" spans="1:457" s="20" customFormat="1" x14ac:dyDescent="0.3">
      <c r="A21" s="3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</row>
    <row r="22" spans="1:457" s="20" customFormat="1" x14ac:dyDescent="0.3">
      <c r="A22" s="3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</row>
    <row r="23" spans="1:457" s="20" customFormat="1" x14ac:dyDescent="0.3">
      <c r="A23" s="3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</row>
    <row r="24" spans="1:457" s="20" customFormat="1" x14ac:dyDescent="0.3">
      <c r="A24" s="3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</row>
    <row r="25" spans="1:457" s="20" customFormat="1" x14ac:dyDescent="0.3">
      <c r="A25" s="3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</row>
    <row r="26" spans="1:457" s="20" customFormat="1" x14ac:dyDescent="0.3">
      <c r="A26" s="3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</row>
    <row r="27" spans="1:457" s="20" customFormat="1" x14ac:dyDescent="0.3">
      <c r="A27" s="3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</row>
    <row r="28" spans="1:457" s="20" customFormat="1" x14ac:dyDescent="0.3">
      <c r="A28" s="3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</row>
    <row r="29" spans="1:457" s="20" customFormat="1" x14ac:dyDescent="0.3">
      <c r="A29" s="3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</row>
    <row r="30" spans="1:457" s="20" customFormat="1" x14ac:dyDescent="0.3">
      <c r="A30" s="3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</row>
    <row r="31" spans="1:457" s="20" customFormat="1" x14ac:dyDescent="0.3">
      <c r="A31" s="3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</row>
    <row r="32" spans="1:457" s="20" customFormat="1" x14ac:dyDescent="0.3">
      <c r="A32" s="3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</row>
    <row r="33" spans="1:457" s="20" customFormat="1" x14ac:dyDescent="0.3">
      <c r="A33" s="3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</row>
    <row r="34" spans="1:457" s="20" customFormat="1" x14ac:dyDescent="0.3">
      <c r="A34" s="3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</row>
    <row r="35" spans="1:457" s="20" customFormat="1" ht="36.6" customHeight="1" x14ac:dyDescent="0.3">
      <c r="A35" s="3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</row>
    <row r="36" spans="1:457" s="20" customFormat="1" ht="3.6" customHeight="1" x14ac:dyDescent="0.3">
      <c r="A36" s="3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</row>
    <row r="37" spans="1:457" s="20" customFormat="1" ht="22.2" customHeight="1" x14ac:dyDescent="0.3">
      <c r="A37" s="3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</row>
    <row r="38" spans="1:457" s="20" customFormat="1" x14ac:dyDescent="0.3">
      <c r="A38" s="3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</row>
  </sheetData>
  <pageMargins left="0.511811024" right="0.511811024" top="0.78740157499999996" bottom="0.78740157499999996" header="0.31496062000000002" footer="0.31496062000000002"/>
  <pageSetup paperSize="9" scale="66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1176-8C05-425F-85C7-AF19AF8238E9}">
  <sheetPr>
    <tabColor theme="3" tint="0.749992370372631"/>
  </sheetPr>
  <dimension ref="C2:O9"/>
  <sheetViews>
    <sheetView workbookViewId="0">
      <selection activeCell="D11" sqref="D11"/>
    </sheetView>
  </sheetViews>
  <sheetFormatPr defaultRowHeight="14.4" x14ac:dyDescent="0.3"/>
  <cols>
    <col min="1" max="1" width="1.5546875" customWidth="1"/>
    <col min="2" max="2" width="1.33203125" customWidth="1"/>
    <col min="3" max="3" width="33.44140625" bestFit="1" customWidth="1"/>
    <col min="4" max="4" width="31.6640625" customWidth="1"/>
    <col min="5" max="5" width="33.44140625" customWidth="1"/>
    <col min="6" max="15" width="33.44140625" bestFit="1" customWidth="1"/>
  </cols>
  <sheetData>
    <row r="2" spans="3:15" ht="15" thickBot="1" x14ac:dyDescent="0.35"/>
    <row r="3" spans="3:15" ht="18.600000000000001" thickBot="1" x14ac:dyDescent="0.4">
      <c r="C3" s="26" t="s">
        <v>314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5" spans="3:15" ht="144.6" customHeight="1" x14ac:dyDescent="0.3">
      <c r="C5" s="12" t="s">
        <v>315</v>
      </c>
      <c r="D5" s="13" t="s">
        <v>316</v>
      </c>
      <c r="E5" s="13" t="s">
        <v>317</v>
      </c>
      <c r="F5" s="13" t="s">
        <v>332</v>
      </c>
      <c r="G5" s="13" t="s">
        <v>318</v>
      </c>
      <c r="H5" s="13" t="s">
        <v>319</v>
      </c>
      <c r="I5" s="13" t="s">
        <v>330</v>
      </c>
      <c r="J5" s="13" t="s">
        <v>320</v>
      </c>
      <c r="K5" s="13" t="s">
        <v>321</v>
      </c>
      <c r="L5" s="13" t="s">
        <v>322</v>
      </c>
      <c r="M5" s="13" t="s">
        <v>323</v>
      </c>
      <c r="N5" s="13" t="s">
        <v>324</v>
      </c>
      <c r="O5" s="14" t="s">
        <v>325</v>
      </c>
    </row>
    <row r="8" spans="3:15" x14ac:dyDescent="0.3">
      <c r="C8" t="s">
        <v>334</v>
      </c>
      <c r="D8" t="s">
        <v>335</v>
      </c>
    </row>
    <row r="9" spans="3:15" x14ac:dyDescent="0.3">
      <c r="C9" t="s">
        <v>336</v>
      </c>
      <c r="D9" t="s">
        <v>337</v>
      </c>
    </row>
  </sheetData>
  <mergeCells count="1">
    <mergeCell ref="C3:O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851b35d3-0456-4d6a-bc2f-da927e91d158"/>
    <ds:schemaRef ds:uri="http://purl.org/dc/terms/"/>
    <ds:schemaRef ds:uri="http://schemas.openxmlformats.org/package/2006/metadata/core-properties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Extras</vt:lpstr>
      <vt:lpstr>D̳ashboard!Area_de_impressao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Josiane de Oliveira da Silva</cp:lastModifiedBy>
  <cp:revision/>
  <cp:lastPrinted>2026-01-27T19:23:56Z</cp:lastPrinted>
  <dcterms:created xsi:type="dcterms:W3CDTF">2024-12-19T13:13:10Z</dcterms:created>
  <dcterms:modified xsi:type="dcterms:W3CDTF">2026-01-28T12:04:10Z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